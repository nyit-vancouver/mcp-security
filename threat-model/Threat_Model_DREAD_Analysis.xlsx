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68a723580f4580/NYIT/Fall 2025/project/"/>
    </mc:Choice>
  </mc:AlternateContent>
  <xr:revisionPtr revIDLastSave="216" documentId="8_{07F68C6E-F652-4518-BEC2-6F4A7186EE58}" xr6:coauthVersionLast="47" xr6:coauthVersionMax="47" xr10:uidLastSave="{D74BE87D-D36C-4CE7-8320-EB7BBF8FF357}"/>
  <bookViews>
    <workbookView xWindow="-108" yWindow="-108" windowWidth="23256" windowHeight="13896" activeTab="3" xr2:uid="{00000000-000D-0000-FFFF-FFFF00000000}"/>
  </bookViews>
  <sheets>
    <sheet name="Report" sheetId="3" r:id="rId1"/>
    <sheet name="Assets" sheetId="5" r:id="rId2"/>
    <sheet name="DFD" sheetId="1" r:id="rId3"/>
    <sheet name="Threat List" sheetId="2" r:id="rId4"/>
    <sheet name="STRIDE Description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3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J21" i="3" s="1"/>
  <c r="K14" i="2"/>
  <c r="K13" i="2"/>
  <c r="K12" i="2"/>
  <c r="K11" i="2"/>
  <c r="K10" i="2"/>
  <c r="K8" i="2"/>
  <c r="K7" i="2"/>
  <c r="K6" i="2"/>
  <c r="K5" i="2"/>
  <c r="K4" i="2"/>
  <c r="L24" i="3"/>
  <c r="K24" i="3"/>
  <c r="L23" i="3"/>
  <c r="K23" i="3"/>
  <c r="L22" i="3"/>
  <c r="K22" i="3"/>
  <c r="L21" i="3"/>
  <c r="K21" i="3"/>
  <c r="L20" i="3"/>
  <c r="K20" i="3"/>
  <c r="L19" i="3"/>
  <c r="K19" i="3"/>
  <c r="J24" i="3" l="1"/>
  <c r="J22" i="3"/>
  <c r="G19" i="3"/>
  <c r="G21" i="3"/>
  <c r="H21" i="3"/>
  <c r="I21" i="3"/>
  <c r="G22" i="3"/>
  <c r="H22" i="3"/>
  <c r="I22" i="3"/>
  <c r="H19" i="3"/>
  <c r="J19" i="3"/>
  <c r="J20" i="3"/>
  <c r="G24" i="3"/>
  <c r="H24" i="3"/>
  <c r="I24" i="3"/>
  <c r="J23" i="3"/>
  <c r="G20" i="3"/>
  <c r="H20" i="3"/>
  <c r="I20" i="3"/>
  <c r="I19" i="3"/>
  <c r="G23" i="3"/>
  <c r="H23" i="3"/>
  <c r="I23" i="3"/>
  <c r="K25" i="3"/>
  <c r="L25" i="3"/>
  <c r="F21" i="3" l="1"/>
  <c r="F22" i="3"/>
  <c r="F19" i="3"/>
  <c r="F24" i="3"/>
  <c r="F20" i="3"/>
  <c r="J25" i="3"/>
  <c r="G25" i="3"/>
  <c r="I25" i="3"/>
  <c r="H25" i="3"/>
  <c r="F23" i="3"/>
  <c r="F25" i="3" l="1"/>
</calcChain>
</file>

<file path=xl/sharedStrings.xml><?xml version="1.0" encoding="utf-8"?>
<sst xmlns="http://schemas.openxmlformats.org/spreadsheetml/2006/main" count="437" uniqueCount="234">
  <si>
    <t>Threat Model Report</t>
  </si>
  <si>
    <t>1. General Information</t>
  </si>
  <si>
    <t>Application Name</t>
  </si>
  <si>
    <t>Date</t>
  </si>
  <si>
    <t>Status</t>
  </si>
  <si>
    <t>Description</t>
  </si>
  <si>
    <t>Document Owner</t>
  </si>
  <si>
    <t>Participants</t>
  </si>
  <si>
    <t>Reviewer</t>
  </si>
  <si>
    <t>2. Feature Document Link</t>
  </si>
  <si>
    <t>Architecture</t>
  </si>
  <si>
    <t>UI Flow</t>
  </si>
  <si>
    <t>3. Threat Statistics</t>
  </si>
  <si>
    <t>STRIDE Category</t>
  </si>
  <si>
    <t>Threat Severity</t>
  </si>
  <si>
    <t>Threat Status</t>
  </si>
  <si>
    <t>TOTAL</t>
  </si>
  <si>
    <t>CRITICAL</t>
  </si>
  <si>
    <t>HIGH</t>
  </si>
  <si>
    <t>MEDIUM</t>
  </si>
  <si>
    <t>LOW</t>
  </si>
  <si>
    <t>Mitigated</t>
  </si>
  <si>
    <t>Need Mitigation</t>
  </si>
  <si>
    <t>Spoofing</t>
  </si>
  <si>
    <t>Tampering</t>
  </si>
  <si>
    <t>Repudiation</t>
  </si>
  <si>
    <t>Information Disclosure</t>
  </si>
  <si>
    <t>Denial of Service (DoS)</t>
  </si>
  <si>
    <t>Elevation Of Privilege</t>
  </si>
  <si>
    <t>Total</t>
  </si>
  <si>
    <t>Assets??</t>
  </si>
  <si>
    <t>Assets are the valuable resources or components that attackers might target, following example contains list of assets related to an inventory management system</t>
  </si>
  <si>
    <t>Assets Category</t>
  </si>
  <si>
    <t>Assets List</t>
  </si>
  <si>
    <t>Physical Assets</t>
  </si>
  <si>
    <t>Servers/Workstations: Hardware running the inventory management software, databases, and supporting services.</t>
  </si>
  <si>
    <t>Barcode Scanners: Handheld or fixed devices used to scan products and update inventory.</t>
  </si>
  <si>
    <t>RFID Devices/Readers: Devices that read RFID tags on inventory items to track movement and stock levels.</t>
  </si>
  <si>
    <t>Networking Equipment: Routers, switches, firewalls, and access points that handle internal communication between systems.</t>
  </si>
  <si>
    <t>Printers: For printing receipts, shipping labels, inventory reports, or barcodes.</t>
  </si>
  <si>
    <t>Backup Storage: Physical storage devices (e.g., external hard drives, tape drives, network-attached storage) used for system backups.</t>
  </si>
  <si>
    <t>Security Cameras: If used for physical security of the on-premise infrastructure.</t>
  </si>
  <si>
    <t>Digital Assets</t>
  </si>
  <si>
    <t>Inventory Data: The actual inventory records, including product details (name, ID, price, quantity, etc.) stored in databases.</t>
  </si>
  <si>
    <t>Product Catalog: Data related to all the products managed by the system, including descriptions, pricing, categories, etc.</t>
  </si>
  <si>
    <t>User Credentials: Username and password information for employees, administrators, and external users interacting with the system.</t>
  </si>
  <si>
    <t>Database: The structured storage where inventory, transactional data, user data, and system logs are stored. This may include:
Stock Levels
Transaction History (e.g., purchase orders, sales, returns)
Supplier/Customer Information
Financial Data</t>
  </si>
  <si>
    <t>Application Code: The source code of the inventory management software that provides functionality for tracking, reporting, and auditing inventory.</t>
  </si>
  <si>
    <t>Configuration Files: System configurations, application settings, and environmental settings for the inventory management system.</t>
  </si>
  <si>
    <t>Security Keys/Certificates: Cryptographic keys or certificates used for encryption (e.g., SSL certificates, database encryption keys).</t>
  </si>
  <si>
    <t>Logs: Detailed system logs, including access logs, audit logs, transaction logs, and error logs.</t>
  </si>
  <si>
    <t>Backup Data: Copies of critical data (e.g., full or incremental backups of inventory, configuration, or system data).</t>
  </si>
  <si>
    <t>Logical Assets</t>
  </si>
  <si>
    <t>Access Control Lists (ACLs): Definitions of user roles and permissions that control access to various system resources.</t>
  </si>
  <si>
    <t>Authentication System: The mechanism used to verify users, such as single sign-on (SSO) systems, multi-factor authentication (MFA), or traditional user-password schemes</t>
  </si>
  <si>
    <t>API Endpoints: Interfaces through which other systems or services interact with the inventory management system, possibly exposing inventory data or functionality.</t>
  </si>
  <si>
    <t>Network Segments: Defined segments of the network that provide isolation for the inventory system from other internal networks or external services.</t>
  </si>
  <si>
    <t>Workflow Rules: The business rules that define inventory processes, such as restocking, order processing, stock adjustments, and returns.</t>
  </si>
  <si>
    <t>Change Management System: A system used to track changes to the inventory system, such as software updates, configuration changes, and hardware modifications.</t>
  </si>
  <si>
    <t>Human Assets</t>
  </si>
  <si>
    <t>Employees: Staff who use the inventory system for day-to-day operations (e.g., warehouse staff, procurement, sales).</t>
  </si>
  <si>
    <t>Administrators: Users with elevated privileges who have the ability to configure and maintain the system.</t>
  </si>
  <si>
    <t>Third-Party Vendors: External parties who might interact with the system for maintenance, development, or integration.</t>
  </si>
  <si>
    <t>Customers: External users (e.g., via online ordering) who may interact with the system for purchasing or tracking inventory.</t>
  </si>
  <si>
    <t>Software Assets</t>
  </si>
  <si>
    <t>Operating System (OS): The platform on which the inventory management software runs (e.g., Windows Server, Linux).</t>
  </si>
  <si>
    <t>Database Management System (DBMS): The software responsible for storing and managing inventory data, such as SQL Server, Oracle, or MySQL.</t>
  </si>
  <si>
    <t>Networking Protocols: Communication protocols used for data transmission between devices and servers (e.g., TCP/IP, HTTP/HTTPS, FTP, etc.).</t>
  </si>
  <si>
    <t>Backup Software: Tools used to automate and manage system and data backups.</t>
  </si>
  <si>
    <t>Security Tools: Software used to secure the system, including antivirus programs, firewalls, intrusion detection/prevention systems (IDS/IPS), and encryption tools.</t>
  </si>
  <si>
    <t>Monitoring Software: Tools that continuously monitor the health and performance</t>
  </si>
  <si>
    <t>External Assets</t>
  </si>
  <si>
    <t>External APIs: Third-party services or applications that interact with the IMS, such as shipping providers, payment processors, or tax calculation services.</t>
  </si>
  <si>
    <t>Cloud Storage: If used for offsite backups or archiving, external cloud storage services (e.g., Amazon S3, Azure Blob Storage).</t>
  </si>
  <si>
    <t>Data Assets</t>
  </si>
  <si>
    <t>Sensitive Personal Information (PII): Customer or employee personal data (e.g., contact information, billing addresses, payment methods) stored or processed by the system.</t>
  </si>
  <si>
    <t>Financial Records: Data related to sales, expenses, profit margins, and other financial aspects of the inventory management system.</t>
  </si>
  <si>
    <t>Audit Data: Records of actions taken within the inventory system, especially for regulatory or compliance reasons.</t>
  </si>
  <si>
    <t>Intellectual Property: Proprietary data such as trade secrets, system designs, custom algorithms, or business logic embedded in the software</t>
  </si>
  <si>
    <t>Communication Assets</t>
  </si>
  <si>
    <t>Internal Communication Channels: Email, messaging apps, or internal collaboration tools used by employees to communicate about inventory operations.</t>
  </si>
  <si>
    <t>External Communication Channels: External communication with suppliers, logistics companies, and customers regarding inventory (e.g., email, messaging platforms, phone systems).</t>
  </si>
  <si>
    <t>Compliance &amp; Regulatory Assets</t>
  </si>
  <si>
    <t>Regulatory Documents: Documents and records related to industry compliance (e.g., GDPR, HIPAA, PCI-DSS) that might dictate how inventory data should be protected and managed.</t>
  </si>
  <si>
    <t xml:space="preserve">Compliance Reports: Reports generated by the system for audit, reporting, and compliance purposes (e.g., financial statements, stock audits).
</t>
  </si>
  <si>
    <t>Data Flow Diagram</t>
  </si>
  <si>
    <t>Link:</t>
  </si>
  <si>
    <t>https://owasp.org/www-community/Threat_Modeling_Process</t>
  </si>
  <si>
    <t>Threat Description</t>
  </si>
  <si>
    <t>Threat Category</t>
  </si>
  <si>
    <t>Threat Risk Assessment</t>
  </si>
  <si>
    <t>Mitigation Details</t>
  </si>
  <si>
    <t>Threat ID</t>
  </si>
  <si>
    <t>Interaction / 
Component</t>
  </si>
  <si>
    <t>Threat Actor</t>
  </si>
  <si>
    <t>List the threats and scenario here, broken up by the STRIDE category</t>
  </si>
  <si>
    <t>STRIDE</t>
  </si>
  <si>
    <r>
      <t>Damage:</t>
    </r>
    <r>
      <rPr>
        <sz val="11"/>
        <color theme="1"/>
        <rFont val="Calibri"/>
        <charset val="134"/>
        <scheme val="minor"/>
      </rPr>
      <t xml:space="preserve">
How much of damage will be caused?</t>
    </r>
  </si>
  <si>
    <r>
      <t xml:space="preserve">Reproducibility: </t>
    </r>
    <r>
      <rPr>
        <sz val="11"/>
        <color theme="1"/>
        <rFont val="Calibri"/>
        <charset val="134"/>
        <scheme val="minor"/>
      </rPr>
      <t xml:space="preserve">
How Easily Can the Attack Be Reproduced?</t>
    </r>
  </si>
  <si>
    <r>
      <t xml:space="preserve">Exploitability: </t>
    </r>
    <r>
      <rPr>
        <sz val="11"/>
        <color theme="1"/>
        <rFont val="Calibri"/>
        <charset val="134"/>
        <scheme val="minor"/>
      </rPr>
      <t xml:space="preserve">
What’s Required to Launch the Attack?</t>
    </r>
  </si>
  <si>
    <r>
      <t xml:space="preserve">Affected Users: </t>
    </r>
    <r>
      <rPr>
        <sz val="11"/>
        <color theme="1"/>
        <rFont val="Calibri"/>
        <charset val="134"/>
        <scheme val="minor"/>
      </rPr>
      <t xml:space="preserve">
How Many People Would the Attack Affect?</t>
    </r>
  </si>
  <si>
    <r>
      <t xml:space="preserve">Discoverability: </t>
    </r>
    <r>
      <rPr>
        <sz val="11"/>
        <color theme="1"/>
        <rFont val="Calibri"/>
        <charset val="134"/>
        <scheme val="minor"/>
      </rPr>
      <t xml:space="preserve">
How Easy Is the Vulnerability to Discover?</t>
    </r>
  </si>
  <si>
    <t>Overall Threat Rating:
Critical (40–50)
High (25–39)
Medium (11–24)
Low (1–10)</t>
  </si>
  <si>
    <t>Mitigation Solution:
Provide detail of solution to mitigate the threat</t>
  </si>
  <si>
    <t>Mitigation Status:
provide detail status of mitigtion</t>
  </si>
  <si>
    <t>Mitigaton Owner:
Provide detail where the mitigation will be added with owner
e.g: infra:security</t>
  </si>
  <si>
    <t>Other Remarks</t>
  </si>
  <si>
    <t>5: Information disclosure</t>
  </si>
  <si>
    <t>10: Web browser </t>
  </si>
  <si>
    <t>10: All users </t>
  </si>
  <si>
    <t>10: Vulnerability found in  web address bar or form</t>
  </si>
  <si>
    <t>7.5: Easy </t>
  </si>
  <si>
    <t>9: Web application proxies </t>
  </si>
  <si>
    <t>10: Destruction of an information system data or application unavailability</t>
  </si>
  <si>
    <t>0: Hard to discover the vulnerability</t>
  </si>
  <si>
    <t>0: Difficult or impossible </t>
  </si>
  <si>
    <t>2.5: Advanced programming and networking skills</t>
  </si>
  <si>
    <t>8: Non-sensitive user data related to individuals or employer compromised</t>
  </si>
  <si>
    <t>5: Complex </t>
  </si>
  <si>
    <t>6: Few users </t>
  </si>
  <si>
    <t>5: HTTP requests can uncover the vulnerability</t>
  </si>
  <si>
    <t>Elevation of Privilege</t>
  </si>
  <si>
    <t>5: Available attack tools </t>
  </si>
  <si>
    <t>2.5: Individual user </t>
  </si>
  <si>
    <t>8: Vulnerability found in the public domain</t>
  </si>
  <si>
    <t>Type</t>
  </si>
  <si>
    <t>Security Control</t>
  </si>
  <si>
    <t>Mitigation Techniques</t>
  </si>
  <si>
    <t>Threat action aimed at accessing and use of another user’s credentials, such as username and password.</t>
  </si>
  <si>
    <t>Authentication</t>
  </si>
  <si>
    <t>1. Appropriate authentication
2. Protect secret data
3. Don’t store secrets</t>
  </si>
  <si>
    <t>Threat action intending to maliciously change or modify persistent data, such as records in a database, and the alteration of data in transit between two computers over an open network, such as the Internet.</t>
  </si>
  <si>
    <t>Integrity</t>
  </si>
  <si>
    <t>1. Appropriate authorization
2. Hashes
3. MACs
4. Digital signatures
5. Tamper resistant protocols</t>
  </si>
  <si>
    <t>Threat action aimed at performing prohibited operations in a system that lacks the ability to trace the operations.</t>
  </si>
  <si>
    <t>Non-Repudiation</t>
  </si>
  <si>
    <t>1. Digital signatures
2. Timestamps
3. Audit trails</t>
  </si>
  <si>
    <t>Information disclosure</t>
  </si>
  <si>
    <t>Threat action intending to read a file that one was not granted access to, or to read data in transit.</t>
  </si>
  <si>
    <t>Confidentiality</t>
  </si>
  <si>
    <t>1. Authorization
2. Privacy-enhanced protocols
3. Encryption
4. Protect secrets
5. Don’t store secrets</t>
  </si>
  <si>
    <t>Denial of service</t>
  </si>
  <si>
    <t>Threat action attempting to deny access to valid users, such as by making a web server temporarily unavailable or unusable.</t>
  </si>
  <si>
    <t>Availability</t>
  </si>
  <si>
    <t>1. Appropriate authentication
2. Appropriate authorization
3. Filtering
4. Throttling
5. Quality of service</t>
  </si>
  <si>
    <t>Elevation of privilege</t>
  </si>
  <si>
    <t>Threat action intending to gain privileged access to resources in order to gain unauthorized access to information or to compromise a system.</t>
  </si>
  <si>
    <t>Authorization</t>
  </si>
  <si>
    <t>1. Run with least privilege</t>
  </si>
  <si>
    <t xml:space="preserve">MCP </t>
  </si>
  <si>
    <t>Ongoing</t>
  </si>
  <si>
    <t>Evaluate severity and score for threats</t>
  </si>
  <si>
    <t>William</t>
  </si>
  <si>
    <t>NYIT students</t>
  </si>
  <si>
    <t>Charoes</t>
  </si>
  <si>
    <t>https://datatracker.ietf.org/doc/html/rfc7662#page-3</t>
  </si>
  <si>
    <t>https://www.redhat.com/en/blog/model-context-protocol-mcp-understanding-security-risks-and-controls</t>
  </si>
  <si>
    <t>Attackers pretend to be valid clients to access the system without authorization.</t>
  </si>
  <si>
    <t>Data exchanged between client and server can be intercepted or altered.</t>
  </si>
  <si>
    <t>Mismatch between client and server schemas causes system malfunctions.</t>
  </si>
  <si>
    <t>Model instability results in irregular or disruptive requests.</t>
  </si>
  <si>
    <t>Faulty outputs or exploited weaknesses disrupt MCP function.</t>
  </si>
  <si>
    <t>Host machine compromise leads to unauthorized privilege escalation.</t>
  </si>
  <si>
    <t>Misconfigurations or insecure setups allow intruder access.</t>
  </si>
  <si>
    <t>Attackers misuse tools to perform unintended or harmful operations</t>
  </si>
  <si>
    <t>Overloading the server with excessive or looping requests disrupts service</t>
  </si>
  <si>
    <t>Data transmitted between entities may be intercepted or modified.</t>
  </si>
  <si>
    <t>Lack of isolation allows one client’s activity to affect others.</t>
  </si>
  <si>
    <t>Sensitive data is exfiltrated or mishandled, breaching regulations.</t>
  </si>
  <si>
    <t>Weak or missing logs make security incident investigation difficult.</t>
  </si>
  <si>
    <t>Fake servers imitate legitimate ones to deceive users or systems.</t>
  </si>
  <si>
    <t>Weak data protection permits unauthorized access.</t>
  </si>
  <si>
    <t>Altered or inconsistent data leads to incorrect outcomes.</t>
  </si>
  <si>
    <t>Confidential data is extracted without authorization.</t>
  </si>
  <si>
    <t>Tools are used beyond their intended security scope.</t>
  </si>
  <si>
    <t>Excessive tool use depletes available resources.</t>
  </si>
  <si>
    <t>Malicious modifications corrupt tool metadata or functionality.</t>
  </si>
  <si>
    <t>Malicious prompts manipulate model behavior or leak data.</t>
  </si>
  <si>
    <t>Poor validation of model responses exposes sensitive data or executes unintended actions.</t>
  </si>
  <si>
    <t>Tampered training data reduces model accuracy or integrity.</t>
  </si>
  <si>
    <t>Resource-intensive prompts disrupt normal model operation.</t>
  </si>
  <si>
    <t>Compromised datasets or dependencies reduce trustworthiness.</t>
  </si>
  <si>
    <t>Model outputs unintentionally reveal confidential information.</t>
  </si>
  <si>
    <t>Poor plugin controls enable unauthorized system actions.</t>
  </si>
  <si>
    <t>Overly autonomous models make unsafe or unauthorized decisions</t>
  </si>
  <si>
    <t>Blind trust in model outputs leads to security or decision errors.</t>
  </si>
  <si>
    <t>Unauthorized access to model parameters or structure exposes proprietary assets.</t>
  </si>
  <si>
    <t>Tokens intercepted during transmission are reused by attackers.</t>
  </si>
  <si>
    <t>Attackers exploit database vulnerabilities to retrieve tokens by gaining access to the database or launching a SQL injection attack.</t>
  </si>
  <si>
    <t>Login credentials are intercepted during the client authentication process or during OAuth token requests.</t>
  </si>
  <si>
    <t>Valid client credentials are extracted from stored data</t>
  </si>
  <si>
    <t>Attackers attempt to brute-force valid client ID/secret pairs</t>
  </si>
  <si>
    <t>Impersonation</t>
  </si>
  <si>
    <t>Insecure Communication</t>
  </si>
  <si>
    <t>Operational Errors</t>
  </si>
  <si>
    <t>Unpredictable Behavior</t>
  </si>
  <si>
    <t>AI Model Vulnerabilities</t>
  </si>
  <si>
    <t>Host System Compromise</t>
  </si>
  <si>
    <t>Compromise and Unauthorized Access</t>
  </si>
  <si>
    <t>Exploitation of Functions</t>
  </si>
  <si>
    <t>Denial of Service</t>
  </si>
  <si>
    <t>Vulnerable Communication</t>
  </si>
  <si>
    <t>Client Interference</t>
  </si>
  <si>
    <t>Data Leakage and Compliance Violations</t>
  </si>
  <si>
    <t>Insufficient Auditability</t>
  </si>
  <si>
    <t>Server Spoofing</t>
  </si>
  <si>
    <t>Data - Insufficient Access Control</t>
  </si>
  <si>
    <t>Data Integrity Issues</t>
  </si>
  <si>
    <t>Data Exfiltration</t>
  </si>
  <si>
    <t>Tool - Functional Misuse</t>
  </si>
  <si>
    <t>Tool - Resource Exhaustion</t>
  </si>
  <si>
    <t>Tool - Tool Poisoning</t>
  </si>
  <si>
    <t>Prompt Injection</t>
  </si>
  <si>
    <t>Insecure Output Handling</t>
  </si>
  <si>
    <t>Training Data Poisoning</t>
  </si>
  <si>
    <t>Model Denial of Service</t>
  </si>
  <si>
    <t>Supply Chain Vulnerabilities</t>
  </si>
  <si>
    <t>Sensitive Information Disclosure</t>
  </si>
  <si>
    <t>Insecure Plugin Design</t>
  </si>
  <si>
    <t>Excessive Agency</t>
  </si>
  <si>
    <t>Overreliance</t>
  </si>
  <si>
    <t>Model Theft</t>
  </si>
  <si>
    <t>Eavesdropping Access Tokens</t>
  </si>
  <si>
    <t>Obtaining Access Tokens from Authorization Server Database</t>
  </si>
  <si>
    <t>Disclosure of Client Credentials during Transmission</t>
  </si>
  <si>
    <t>Obtaining Client Secret from Authorization Server Database</t>
  </si>
  <si>
    <t>Obtaining Client Secret by Online Guessing</t>
  </si>
  <si>
    <t>Client</t>
  </si>
  <si>
    <t>Host</t>
  </si>
  <si>
    <t>MCP Server</t>
  </si>
  <si>
    <t>Database, tools, API</t>
  </si>
  <si>
    <t>LLM</t>
  </si>
  <si>
    <t>Authorization Server</t>
  </si>
  <si>
    <t>9: Non-sensitive administrative data compromised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</si>
</sst>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13.5"/>
      <color rgb="FF000000"/>
      <name val="Calibri"/>
      <charset val="134"/>
      <scheme val="minor"/>
    </font>
    <font>
      <sz val="13.5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8AFC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thick">
        <color rgb="FFCDCDCD"/>
      </left>
      <right style="thick">
        <color rgb="FFCDCDCD"/>
      </right>
      <top style="thick">
        <color rgb="FFCDCDCD"/>
      </top>
      <bottom style="thick">
        <color rgb="FFCDCDC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6" fillId="0" borderId="10" xfId="0" applyFont="1" applyBorder="1">
      <alignment vertical="center"/>
    </xf>
    <xf numFmtId="0" fontId="6" fillId="7" borderId="20" xfId="0" applyFont="1" applyFill="1" applyBorder="1">
      <alignment vertical="center"/>
    </xf>
    <xf numFmtId="0" fontId="6" fillId="6" borderId="20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20" xfId="0" applyFont="1" applyBorder="1">
      <alignment vertical="center"/>
    </xf>
    <xf numFmtId="0" fontId="6" fillId="8" borderId="20" xfId="0" applyFont="1" applyFill="1" applyBorder="1">
      <alignment vertical="center"/>
    </xf>
    <xf numFmtId="0" fontId="6" fillId="5" borderId="11" xfId="0" applyFont="1" applyFill="1" applyBorder="1">
      <alignment vertical="center"/>
    </xf>
    <xf numFmtId="0" fontId="6" fillId="0" borderId="35" xfId="0" applyFont="1" applyBorder="1">
      <alignment vertical="center"/>
    </xf>
    <xf numFmtId="0" fontId="6" fillId="0" borderId="11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36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37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35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30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8" fillId="0" borderId="0" xfId="0" applyFont="1" applyBorder="1">
      <alignment vertical="center"/>
    </xf>
    <xf numFmtId="0" fontId="7" fillId="11" borderId="0" xfId="0" applyFont="1" applyFill="1" applyBorder="1" applyAlignment="1">
      <alignment horizontal="left" vertical="center"/>
    </xf>
    <xf numFmtId="0" fontId="0" fillId="0" borderId="26" xfId="0" applyBorder="1">
      <alignment vertical="center"/>
    </xf>
    <xf numFmtId="0" fontId="8" fillId="0" borderId="26" xfId="0" applyFont="1" applyBorder="1">
      <alignment vertical="center"/>
    </xf>
    <xf numFmtId="0" fontId="7" fillId="11" borderId="26" xfId="0" applyFont="1" applyFill="1" applyBorder="1" applyAlignment="1">
      <alignment horizontal="left" vertical="center"/>
    </xf>
    <xf numFmtId="0" fontId="0" fillId="0" borderId="27" xfId="0" applyBorder="1">
      <alignment vertical="center"/>
    </xf>
    <xf numFmtId="0" fontId="8" fillId="0" borderId="27" xfId="0" applyFont="1" applyBorder="1">
      <alignment vertical="center"/>
    </xf>
    <xf numFmtId="0" fontId="7" fillId="11" borderId="27" xfId="0" applyFont="1" applyFill="1" applyBorder="1" applyAlignment="1">
      <alignment horizontal="left" vertical="center"/>
    </xf>
    <xf numFmtId="0" fontId="0" fillId="0" borderId="0" xfId="0" applyFill="1" applyBorder="1">
      <alignment vertical="center"/>
    </xf>
  </cellXfs>
  <cellStyles count="2">
    <cellStyle name="Hyperlink" xfId="1" builtinId="8"/>
    <cellStyle name="Normal" xfId="0" builtinId="0"/>
  </cellStyles>
  <dxfs count="22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00000"/>
        </patternFill>
      </fill>
    </dxf>
    <dxf>
      <fill>
        <patternFill patternType="none"/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5</xdr:row>
      <xdr:rowOff>30480</xdr:rowOff>
    </xdr:from>
    <xdr:ext cx="7019925" cy="40005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16E398B8-7A62-49F2-A525-814ED15C7C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5940" y="944880"/>
          <a:ext cx="7019925" cy="4000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wasp.org/www-community/Threat_Modeling_Proc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25"/>
  <sheetViews>
    <sheetView topLeftCell="A9" workbookViewId="0">
      <selection activeCell="F14" sqref="F14:L15"/>
    </sheetView>
  </sheetViews>
  <sheetFormatPr defaultColWidth="9" defaultRowHeight="14.4"/>
  <cols>
    <col min="6" max="6" width="9.33203125" customWidth="1"/>
    <col min="7" max="7" width="12.6640625" customWidth="1"/>
    <col min="9" max="9" width="11.88671875" customWidth="1"/>
    <col min="11" max="11" width="12.33203125" customWidth="1"/>
    <col min="12" max="12" width="20.33203125" customWidth="1"/>
  </cols>
  <sheetData>
    <row r="4" spans="3:12" ht="21">
      <c r="C4" s="69" t="s">
        <v>0</v>
      </c>
      <c r="D4" s="70"/>
      <c r="E4" s="70"/>
      <c r="F4" s="70"/>
      <c r="G4" s="70"/>
      <c r="H4" s="70"/>
      <c r="I4" s="70"/>
      <c r="J4" s="70"/>
      <c r="K4" s="70"/>
      <c r="L4" s="71"/>
    </row>
    <row r="5" spans="3:12" ht="21">
      <c r="C5" s="72" t="s">
        <v>1</v>
      </c>
      <c r="D5" s="73"/>
      <c r="E5" s="73"/>
      <c r="F5" s="60"/>
      <c r="G5" s="60"/>
      <c r="H5" s="60"/>
      <c r="I5" s="60"/>
      <c r="J5" s="60"/>
      <c r="K5" s="60"/>
      <c r="L5" s="61"/>
    </row>
    <row r="6" spans="3:12" ht="21">
      <c r="C6" s="41" t="s">
        <v>2</v>
      </c>
      <c r="D6" s="42"/>
      <c r="E6" s="43"/>
      <c r="F6" s="52" t="s">
        <v>149</v>
      </c>
      <c r="G6" s="52"/>
      <c r="H6" s="52"/>
      <c r="I6" s="52"/>
      <c r="J6" s="52"/>
      <c r="K6" s="52"/>
      <c r="L6" s="53"/>
    </row>
    <row r="7" spans="3:12" ht="21">
      <c r="C7" s="44" t="s">
        <v>3</v>
      </c>
      <c r="D7" s="45"/>
      <c r="E7" s="46"/>
      <c r="F7" s="66">
        <v>45919</v>
      </c>
      <c r="G7" s="66"/>
      <c r="H7" s="66"/>
      <c r="I7" s="66"/>
      <c r="J7" s="66"/>
      <c r="K7" s="66"/>
      <c r="L7" s="67"/>
    </row>
    <row r="8" spans="3:12" ht="21">
      <c r="C8" s="44" t="s">
        <v>4</v>
      </c>
      <c r="D8" s="45"/>
      <c r="E8" s="46"/>
      <c r="F8" s="66" t="s">
        <v>150</v>
      </c>
      <c r="G8" s="66"/>
      <c r="H8" s="66"/>
      <c r="I8" s="66"/>
      <c r="J8" s="66"/>
      <c r="K8" s="66"/>
      <c r="L8" s="67"/>
    </row>
    <row r="9" spans="3:12" ht="21">
      <c r="C9" s="44" t="s">
        <v>5</v>
      </c>
      <c r="D9" s="45"/>
      <c r="E9" s="46"/>
      <c r="F9" s="57" t="s">
        <v>151</v>
      </c>
      <c r="G9" s="57"/>
      <c r="H9" s="57"/>
      <c r="I9" s="57"/>
      <c r="J9" s="57"/>
      <c r="K9" s="57"/>
      <c r="L9" s="58"/>
    </row>
    <row r="10" spans="3:12" ht="21">
      <c r="C10" s="68" t="s">
        <v>6</v>
      </c>
      <c r="D10" s="66"/>
      <c r="E10" s="67"/>
      <c r="F10" s="57" t="s">
        <v>152</v>
      </c>
      <c r="G10" s="57"/>
      <c r="H10" s="57"/>
      <c r="I10" s="57"/>
      <c r="J10" s="57"/>
      <c r="K10" s="57"/>
      <c r="L10" s="58"/>
    </row>
    <row r="11" spans="3:12" ht="21">
      <c r="C11" s="44" t="s">
        <v>7</v>
      </c>
      <c r="D11" s="45"/>
      <c r="E11" s="46"/>
      <c r="F11" s="57" t="s">
        <v>153</v>
      </c>
      <c r="G11" s="57"/>
      <c r="H11" s="57"/>
      <c r="I11" s="57"/>
      <c r="J11" s="57"/>
      <c r="K11" s="57"/>
      <c r="L11" s="58"/>
    </row>
    <row r="12" spans="3:12" ht="21">
      <c r="C12" s="54" t="s">
        <v>8</v>
      </c>
      <c r="D12" s="55"/>
      <c r="E12" s="56"/>
      <c r="F12" s="62" t="s">
        <v>154</v>
      </c>
      <c r="G12" s="62"/>
      <c r="H12" s="62"/>
      <c r="I12" s="62"/>
      <c r="J12" s="62"/>
      <c r="K12" s="62"/>
      <c r="L12" s="63"/>
    </row>
    <row r="13" spans="3:12" ht="21">
      <c r="C13" s="64" t="s">
        <v>9</v>
      </c>
      <c r="D13" s="65"/>
      <c r="E13" s="65"/>
      <c r="F13" s="60"/>
      <c r="G13" s="60"/>
      <c r="H13" s="60"/>
      <c r="I13" s="60"/>
      <c r="J13" s="60"/>
      <c r="K13" s="60"/>
      <c r="L13" s="61"/>
    </row>
    <row r="14" spans="3:12" ht="21">
      <c r="C14" s="41" t="s">
        <v>10</v>
      </c>
      <c r="D14" s="42"/>
      <c r="E14" s="43"/>
      <c r="F14" s="52" t="s">
        <v>155</v>
      </c>
      <c r="G14" s="52"/>
      <c r="H14" s="52"/>
      <c r="I14" s="52"/>
      <c r="J14" s="52"/>
      <c r="K14" s="52"/>
      <c r="L14" s="53"/>
    </row>
    <row r="15" spans="3:12" ht="21">
      <c r="C15" s="54" t="s">
        <v>11</v>
      </c>
      <c r="D15" s="55"/>
      <c r="E15" s="56"/>
      <c r="F15" s="57" t="s">
        <v>156</v>
      </c>
      <c r="G15" s="57"/>
      <c r="H15" s="57"/>
      <c r="I15" s="57"/>
      <c r="J15" s="57"/>
      <c r="K15" s="57"/>
      <c r="L15" s="58"/>
    </row>
    <row r="16" spans="3:12" ht="21">
      <c r="C16" s="59" t="s">
        <v>12</v>
      </c>
      <c r="D16" s="60"/>
      <c r="E16" s="60"/>
      <c r="F16" s="60"/>
      <c r="G16" s="60"/>
      <c r="H16" s="60"/>
      <c r="I16" s="60"/>
      <c r="J16" s="60"/>
      <c r="K16" s="60"/>
      <c r="L16" s="61"/>
    </row>
    <row r="17" spans="3:12" ht="21">
      <c r="C17" s="41" t="s">
        <v>13</v>
      </c>
      <c r="D17" s="42"/>
      <c r="E17" s="43"/>
      <c r="F17" s="47" t="s">
        <v>14</v>
      </c>
      <c r="G17" s="48"/>
      <c r="H17" s="48"/>
      <c r="I17" s="48"/>
      <c r="J17" s="49"/>
      <c r="K17" s="50" t="s">
        <v>15</v>
      </c>
      <c r="L17" s="51"/>
    </row>
    <row r="18" spans="3:12" ht="18">
      <c r="C18" s="44"/>
      <c r="D18" s="45"/>
      <c r="E18" s="46"/>
      <c r="F18" s="16" t="s">
        <v>16</v>
      </c>
      <c r="G18" s="17" t="s">
        <v>17</v>
      </c>
      <c r="H18" s="18" t="s">
        <v>18</v>
      </c>
      <c r="I18" s="25" t="s">
        <v>19</v>
      </c>
      <c r="J18" s="26" t="s">
        <v>20</v>
      </c>
      <c r="K18" s="27" t="s">
        <v>21</v>
      </c>
      <c r="L18" s="28" t="s">
        <v>22</v>
      </c>
    </row>
    <row r="19" spans="3:12" ht="21">
      <c r="C19" s="35" t="s">
        <v>23</v>
      </c>
      <c r="D19" s="36"/>
      <c r="E19" s="37"/>
      <c r="F19" s="19">
        <f t="shared" ref="F19:F25" si="0">SUM(G19:J19)</f>
        <v>4</v>
      </c>
      <c r="G19" s="20">
        <f>COUNTIFS('Threat List'!E3:E100,"Spoofing",'Threat List'!K3:K100,"&gt;=40",'Threat List'!K3:K100,"&lt;=50")</f>
        <v>1</v>
      </c>
      <c r="H19" s="20">
        <f>COUNTIFS('Threat List'!E3:E100,"Spoofing",'Threat List'!K3:K100,"&gt;25",'Threat List'!K3:K100,"&lt;40")</f>
        <v>2</v>
      </c>
      <c r="I19" s="20">
        <f>COUNTIFS('Threat List'!E3:E100,"Spoofing",'Threat List'!K3:K100,"&gt;=11",'Threat List'!K3:K100,"&lt;25")</f>
        <v>1</v>
      </c>
      <c r="J19" s="29">
        <f>COUNTIFS('Threat List'!E3:E100,"Spoofing",'Threat List'!K3:K100,"&gt;0",'Threat List'!K3:K100,"&lt;=10")</f>
        <v>0</v>
      </c>
      <c r="K19" s="30">
        <f>COUNTIFS('Threat List'!E3:E100,"Spoofing",'Threat List'!M3:M100,"Mitigated")</f>
        <v>0</v>
      </c>
      <c r="L19" s="29">
        <f>COUNTIFS('Threat List'!E3:E100,"Spoofing",'Threat List'!M3:M100,"Need Mitigation")</f>
        <v>2</v>
      </c>
    </row>
    <row r="20" spans="3:12" ht="21">
      <c r="C20" s="35" t="s">
        <v>24</v>
      </c>
      <c r="D20" s="36"/>
      <c r="E20" s="37"/>
      <c r="F20" s="21">
        <f t="shared" si="0"/>
        <v>9</v>
      </c>
      <c r="G20" s="22">
        <f>COUNTIFS('Threat List'!E3:E100,"Tampering",'Threat List'!K3:K100,"&gt;=40",'Threat List'!K3:K100,"&lt;=50")</f>
        <v>2</v>
      </c>
      <c r="H20" s="22">
        <f>COUNTIFS('Threat List'!E3:E100,"Tampering",'Threat List'!K3:K100,"&gt;25",'Threat List'!K3:K100,"&lt;40")</f>
        <v>7</v>
      </c>
      <c r="I20" s="22">
        <f>COUNTIFS('Threat List'!E3:E100,"Tampering",'Threat List'!K3:K100,"&gt;=11",'Threat List'!K3:K100,"&lt;25")</f>
        <v>0</v>
      </c>
      <c r="J20" s="31">
        <f>COUNTIFS('Threat List'!E3:E100,"Tampering",'Threat List'!K3:K100,"&gt;0",'Threat List'!K3:K100,"&lt;=10")</f>
        <v>0</v>
      </c>
      <c r="K20" s="32">
        <f>COUNTIFS('Threat List'!E3:E100,"Tampering",'Threat List'!M3:M100,"Mitigated")</f>
        <v>0</v>
      </c>
      <c r="L20" s="31">
        <f>COUNTIFS('Threat List'!E3:E100,"Tampering",'Threat List'!M3:M100,"Need Mitigation")</f>
        <v>2</v>
      </c>
    </row>
    <row r="21" spans="3:12" ht="21">
      <c r="C21" s="35" t="s">
        <v>25</v>
      </c>
      <c r="D21" s="36"/>
      <c r="E21" s="37"/>
      <c r="F21" s="21">
        <f t="shared" si="0"/>
        <v>1</v>
      </c>
      <c r="G21" s="22">
        <f>COUNTIFS('Threat List'!E3:E100,"Repudiation",'Threat List'!K3:K100,"&gt;=40",'Threat List'!K3:K100,"&lt;=50")</f>
        <v>0</v>
      </c>
      <c r="H21" s="22">
        <f>COUNTIFS('Threat List'!E3:E100,"Repudiation",'Threat List'!K3:K100,"&gt;25",'Threat List'!K3:K100,"&lt;40")</f>
        <v>0</v>
      </c>
      <c r="I21" s="22">
        <f>COUNTIFS('Threat List'!E3:E100,"Repudiation",'Threat List'!K3:K100,"&gt;=11",'Threat List'!K3:K100,"&lt;25")</f>
        <v>1</v>
      </c>
      <c r="J21" s="31">
        <f>COUNTIFS('Threat List'!E3:E100,"Repudiation",'Threat List'!K3:K100,"&gt;0",'Threat List'!K3:K100,"&lt;=10")</f>
        <v>0</v>
      </c>
      <c r="K21" s="32">
        <f>COUNTIFS('Threat List'!E3:E100,"Repudiation",'Threat List'!M3:M100,"Mitigated")</f>
        <v>0</v>
      </c>
      <c r="L21" s="31">
        <f>COUNTIFS('Threat List'!E3:E100,"Repudiation",'Threat List'!M3:M100,"Need Mitigation")</f>
        <v>0</v>
      </c>
    </row>
    <row r="22" spans="3:12" ht="21">
      <c r="C22" s="35" t="s">
        <v>26</v>
      </c>
      <c r="D22" s="36"/>
      <c r="E22" s="37"/>
      <c r="F22" s="21">
        <f t="shared" si="0"/>
        <v>9</v>
      </c>
      <c r="G22" s="22">
        <f>COUNTIFS('Threat List'!E3:E100,"Information Disclosure",'Threat List'!K3:K100,"&gt;=40",'Threat List'!K3:K100,"&lt;=50")</f>
        <v>1</v>
      </c>
      <c r="H22" s="22">
        <f>COUNTIFS('Threat List'!E3:E100,"Information Disclosure",'Threat List'!K3:K100,"&gt;25",'Threat List'!K3:K100,"&lt;40")</f>
        <v>6</v>
      </c>
      <c r="I22" s="22">
        <f>COUNTIFS('Threat List'!E3:E100,"Information Disclosure",'Threat List'!K3:K100,"&gt;=11",'Threat List'!K3:K100,"&lt;25")</f>
        <v>2</v>
      </c>
      <c r="J22" s="31">
        <f>COUNTIFS('Threat List'!E3:E100,"Information Disclosure",'Threat List'!K3:K100,"&gt;0",'Threat List'!K3:K100,"&lt;=10")</f>
        <v>0</v>
      </c>
      <c r="K22" s="32">
        <f>COUNTIFS('Threat List'!E3:E100,"Information Disclosure",'Threat List'!M3:M100,"Mitigated")</f>
        <v>0</v>
      </c>
      <c r="L22" s="31">
        <f>COUNTIFS('Threat List'!E3:E100,"Information Disclosure",'Threat List'!M3:M100,"Need Mitigation")</f>
        <v>0</v>
      </c>
    </row>
    <row r="23" spans="3:12" ht="21">
      <c r="C23" s="35" t="s">
        <v>27</v>
      </c>
      <c r="D23" s="36"/>
      <c r="E23" s="37"/>
      <c r="F23" s="21">
        <f t="shared" si="0"/>
        <v>7</v>
      </c>
      <c r="G23" s="22">
        <f>COUNTIFS('Threat List'!E3:E100,"Denial of Service (DoS)",'Threat List'!K3:K100,"&gt;=40",'Threat List'!K3:K100,"&lt;=50")</f>
        <v>2</v>
      </c>
      <c r="H23" s="22">
        <f>COUNTIFS('Threat List'!E3:E100,"Denial of Service (DoS)",'Threat List'!K3:K100,"&gt;25",'Threat List'!K3:K100,"&lt;40")</f>
        <v>4</v>
      </c>
      <c r="I23" s="22">
        <f>COUNTIFS('Threat List'!E3:E100,"Denial of Service (DoS)",'Threat List'!K3:K100,"&gt;=11",'Threat List'!K3:K100,"&lt;25")</f>
        <v>1</v>
      </c>
      <c r="J23" s="31">
        <f>COUNTIFS('Threat List'!E3:E100,"Denial of Service (DoS)",'Threat List'!K3:K100,"&gt;0",'Threat List'!K3:K100,"&lt;=10")</f>
        <v>0</v>
      </c>
      <c r="K23" s="32">
        <f>COUNTIFS('Threat List'!E3:E100,"Denial of Service (DoS)",'Threat List'!M3:M100,"Mitigated")</f>
        <v>0</v>
      </c>
      <c r="L23" s="31">
        <f>COUNTIFS('Threat List'!E3:E100,"Denial of Service (DoS)",'Threat List'!M3:M100,"Need Mitigation")</f>
        <v>3</v>
      </c>
    </row>
    <row r="24" spans="3:12" ht="21">
      <c r="C24" s="35" t="s">
        <v>28</v>
      </c>
      <c r="D24" s="36"/>
      <c r="E24" s="37"/>
      <c r="F24" s="21">
        <f t="shared" si="0"/>
        <v>3</v>
      </c>
      <c r="G24" s="22">
        <f>COUNTIFS('Threat List'!E3:E100,"Elevation Of Privilege",'Threat List'!K3:K100,"&gt;=40",'Threat List'!K3:K100,"&lt;=50")</f>
        <v>0</v>
      </c>
      <c r="H24" s="22">
        <f>COUNTIFS('Threat List'!E3:E100,"Elevation Of Privilege",'Threat List'!K3:K100,"&gt;25",'Threat List'!K3:K100,"&lt;40")</f>
        <v>2</v>
      </c>
      <c r="I24" s="22">
        <f>COUNTIFS('Threat List'!E3:E100,"Elevation Of Privilege",'Threat List'!K3:K100,"&gt;=11",'Threat List'!K3:K100,"&lt;25")</f>
        <v>1</v>
      </c>
      <c r="J24" s="31">
        <f>COUNTIFS('Threat List'!E3:E100,"Elevation Of Privilege",'Threat List'!K3:K100,"&gt;0",'Threat List'!K3:K100,"&lt;=10")</f>
        <v>0</v>
      </c>
      <c r="K24" s="32">
        <f>COUNTIFS('Threat List'!E3:E100,"Elevation Of Privilege",'Threat List'!M3:M100,"Mitigated")</f>
        <v>0</v>
      </c>
      <c r="L24" s="31">
        <f>COUNTIFS('Threat List'!E3:E100,"Elevation Of Privilege",'Threat List'!M3:M100,"Need Mitigation")</f>
        <v>1</v>
      </c>
    </row>
    <row r="25" spans="3:12" ht="21">
      <c r="C25" s="38" t="s">
        <v>29</v>
      </c>
      <c r="D25" s="39"/>
      <c r="E25" s="40"/>
      <c r="F25" s="23">
        <f t="shared" si="0"/>
        <v>33</v>
      </c>
      <c r="G25" s="24">
        <f t="shared" ref="G25:L25" si="1">SUM(G19:G24)</f>
        <v>6</v>
      </c>
      <c r="H25" s="24">
        <f t="shared" si="1"/>
        <v>21</v>
      </c>
      <c r="I25" s="24">
        <f t="shared" si="1"/>
        <v>6</v>
      </c>
      <c r="J25" s="33">
        <f t="shared" si="1"/>
        <v>0</v>
      </c>
      <c r="K25" s="34">
        <f t="shared" si="1"/>
        <v>0</v>
      </c>
      <c r="L25" s="33">
        <f t="shared" si="1"/>
        <v>8</v>
      </c>
    </row>
  </sheetData>
  <sheetProtection sheet="1" objects="1" scenarios="1"/>
  <protectedRanges>
    <protectedRange sqref="F6:L12" name="Range1"/>
    <protectedRange sqref="F14:L15" name="Range2"/>
  </protectedRanges>
  <mergeCells count="32">
    <mergeCell ref="C4:L4"/>
    <mergeCell ref="C5:L5"/>
    <mergeCell ref="C6:E6"/>
    <mergeCell ref="F6:L6"/>
    <mergeCell ref="C7:E7"/>
    <mergeCell ref="F7:L7"/>
    <mergeCell ref="C8:E8"/>
    <mergeCell ref="F8:L8"/>
    <mergeCell ref="C9:E9"/>
    <mergeCell ref="F9:L9"/>
    <mergeCell ref="C10:E10"/>
    <mergeCell ref="F10:L10"/>
    <mergeCell ref="C11:E11"/>
    <mergeCell ref="F11:L11"/>
    <mergeCell ref="C12:E12"/>
    <mergeCell ref="F12:L12"/>
    <mergeCell ref="C13:L13"/>
    <mergeCell ref="C14:E14"/>
    <mergeCell ref="F14:L14"/>
    <mergeCell ref="C15:E15"/>
    <mergeCell ref="F15:L15"/>
    <mergeCell ref="C16:L16"/>
    <mergeCell ref="F17:J17"/>
    <mergeCell ref="K17:L17"/>
    <mergeCell ref="C19:E19"/>
    <mergeCell ref="C20:E20"/>
    <mergeCell ref="C21:E21"/>
    <mergeCell ref="C22:E22"/>
    <mergeCell ref="C23:E23"/>
    <mergeCell ref="C24:E24"/>
    <mergeCell ref="C25:E25"/>
    <mergeCell ref="C17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5"/>
  <sheetViews>
    <sheetView workbookViewId="0">
      <selection activeCell="C46" sqref="C46"/>
    </sheetView>
  </sheetViews>
  <sheetFormatPr defaultColWidth="9" defaultRowHeight="14.4"/>
  <cols>
    <col min="2" max="2" width="29" customWidth="1"/>
    <col min="3" max="3" width="160.44140625" customWidth="1"/>
  </cols>
  <sheetData>
    <row r="2" spans="2:3" ht="21">
      <c r="B2" s="8" t="s">
        <v>30</v>
      </c>
      <c r="C2" s="9" t="s">
        <v>31</v>
      </c>
    </row>
    <row r="3" spans="2:3" ht="21">
      <c r="B3" s="10" t="s">
        <v>32</v>
      </c>
      <c r="C3" s="11" t="s">
        <v>33</v>
      </c>
    </row>
    <row r="4" spans="2:3">
      <c r="B4" s="76" t="s">
        <v>34</v>
      </c>
      <c r="C4" s="12" t="s">
        <v>35</v>
      </c>
    </row>
    <row r="5" spans="2:3">
      <c r="B5" s="74"/>
      <c r="C5" s="13" t="s">
        <v>36</v>
      </c>
    </row>
    <row r="6" spans="2:3">
      <c r="B6" s="74"/>
      <c r="C6" s="13" t="s">
        <v>37</v>
      </c>
    </row>
    <row r="7" spans="2:3">
      <c r="B7" s="74"/>
      <c r="C7" s="13" t="s">
        <v>38</v>
      </c>
    </row>
    <row r="8" spans="2:3">
      <c r="B8" s="74"/>
      <c r="C8" s="13" t="s">
        <v>39</v>
      </c>
    </row>
    <row r="9" spans="2:3">
      <c r="B9" s="74"/>
      <c r="C9" s="13" t="s">
        <v>40</v>
      </c>
    </row>
    <row r="10" spans="2:3">
      <c r="B10" s="74"/>
      <c r="C10" s="13" t="s">
        <v>41</v>
      </c>
    </row>
    <row r="11" spans="2:3" ht="14.1" customHeight="1">
      <c r="B11" s="74" t="s">
        <v>42</v>
      </c>
      <c r="C11" s="13" t="s">
        <v>43</v>
      </c>
    </row>
    <row r="12" spans="2:3" ht="14.1" customHeight="1">
      <c r="B12" s="74"/>
      <c r="C12" s="13" t="s">
        <v>44</v>
      </c>
    </row>
    <row r="13" spans="2:3" ht="14.1" customHeight="1">
      <c r="B13" s="74"/>
      <c r="C13" s="13" t="s">
        <v>45</v>
      </c>
    </row>
    <row r="14" spans="2:3" ht="72">
      <c r="B14" s="74"/>
      <c r="C14" s="14" t="s">
        <v>46</v>
      </c>
    </row>
    <row r="15" spans="2:3">
      <c r="B15" s="74"/>
      <c r="C15" s="14" t="s">
        <v>47</v>
      </c>
    </row>
    <row r="16" spans="2:3">
      <c r="B16" s="74"/>
      <c r="C16" s="14" t="s">
        <v>48</v>
      </c>
    </row>
    <row r="17" spans="2:3">
      <c r="B17" s="74"/>
      <c r="C17" s="13" t="s">
        <v>49</v>
      </c>
    </row>
    <row r="18" spans="2:3">
      <c r="B18" s="74"/>
      <c r="C18" s="13" t="s">
        <v>50</v>
      </c>
    </row>
    <row r="19" spans="2:3">
      <c r="B19" s="74"/>
      <c r="C19" s="13" t="s">
        <v>51</v>
      </c>
    </row>
    <row r="20" spans="2:3">
      <c r="B20" s="74" t="s">
        <v>52</v>
      </c>
      <c r="C20" s="13" t="s">
        <v>53</v>
      </c>
    </row>
    <row r="21" spans="2:3">
      <c r="B21" s="74"/>
      <c r="C21" s="13" t="s">
        <v>54</v>
      </c>
    </row>
    <row r="22" spans="2:3">
      <c r="B22" s="74"/>
      <c r="C22" s="13" t="s">
        <v>55</v>
      </c>
    </row>
    <row r="23" spans="2:3">
      <c r="B23" s="74"/>
      <c r="C23" s="13" t="s">
        <v>56</v>
      </c>
    </row>
    <row r="24" spans="2:3">
      <c r="B24" s="74"/>
      <c r="C24" s="13" t="s">
        <v>57</v>
      </c>
    </row>
    <row r="25" spans="2:3">
      <c r="B25" s="74"/>
      <c r="C25" s="13" t="s">
        <v>58</v>
      </c>
    </row>
    <row r="26" spans="2:3">
      <c r="B26" s="74" t="s">
        <v>59</v>
      </c>
      <c r="C26" s="13" t="s">
        <v>60</v>
      </c>
    </row>
    <row r="27" spans="2:3">
      <c r="B27" s="74"/>
      <c r="C27" s="13" t="s">
        <v>61</v>
      </c>
    </row>
    <row r="28" spans="2:3">
      <c r="B28" s="74"/>
      <c r="C28" s="13" t="s">
        <v>62</v>
      </c>
    </row>
    <row r="29" spans="2:3" ht="15.9" customHeight="1">
      <c r="B29" s="74"/>
      <c r="C29" s="13" t="s">
        <v>63</v>
      </c>
    </row>
    <row r="30" spans="2:3" ht="15.9" customHeight="1">
      <c r="B30" s="74" t="s">
        <v>64</v>
      </c>
      <c r="C30" s="13" t="s">
        <v>65</v>
      </c>
    </row>
    <row r="31" spans="2:3" ht="15.9" customHeight="1">
      <c r="B31" s="74"/>
      <c r="C31" s="13" t="s">
        <v>66</v>
      </c>
    </row>
    <row r="32" spans="2:3" ht="15.9" customHeight="1">
      <c r="B32" s="74"/>
      <c r="C32" s="13" t="s">
        <v>67</v>
      </c>
    </row>
    <row r="33" spans="2:3">
      <c r="B33" s="74"/>
      <c r="C33" s="13" t="s">
        <v>68</v>
      </c>
    </row>
    <row r="34" spans="2:3">
      <c r="B34" s="74"/>
      <c r="C34" s="13" t="s">
        <v>69</v>
      </c>
    </row>
    <row r="35" spans="2:3">
      <c r="B35" s="74"/>
      <c r="C35" s="13" t="s">
        <v>70</v>
      </c>
    </row>
    <row r="36" spans="2:3">
      <c r="B36" s="74" t="s">
        <v>71</v>
      </c>
      <c r="C36" s="13" t="s">
        <v>72</v>
      </c>
    </row>
    <row r="37" spans="2:3">
      <c r="B37" s="74"/>
      <c r="C37" s="13" t="s">
        <v>73</v>
      </c>
    </row>
    <row r="38" spans="2:3">
      <c r="B38" s="74" t="s">
        <v>74</v>
      </c>
      <c r="C38" s="13" t="s">
        <v>75</v>
      </c>
    </row>
    <row r="39" spans="2:3">
      <c r="B39" s="74"/>
      <c r="C39" s="13" t="s">
        <v>76</v>
      </c>
    </row>
    <row r="40" spans="2:3">
      <c r="B40" s="74"/>
      <c r="C40" s="13" t="s">
        <v>77</v>
      </c>
    </row>
    <row r="41" spans="2:3">
      <c r="B41" s="74"/>
      <c r="C41" s="13" t="s">
        <v>78</v>
      </c>
    </row>
    <row r="42" spans="2:3">
      <c r="B42" s="74" t="s">
        <v>79</v>
      </c>
      <c r="C42" s="13" t="s">
        <v>80</v>
      </c>
    </row>
    <row r="43" spans="2:3">
      <c r="B43" s="74"/>
      <c r="C43" s="13" t="s">
        <v>81</v>
      </c>
    </row>
    <row r="44" spans="2:3">
      <c r="B44" s="74" t="s">
        <v>82</v>
      </c>
      <c r="C44" s="13" t="s">
        <v>83</v>
      </c>
    </row>
    <row r="45" spans="2:3" ht="21.9" customHeight="1">
      <c r="B45" s="75"/>
      <c r="C45" s="15" t="s">
        <v>84</v>
      </c>
    </row>
  </sheetData>
  <mergeCells count="9">
    <mergeCell ref="B36:B37"/>
    <mergeCell ref="B38:B41"/>
    <mergeCell ref="B42:B43"/>
    <mergeCell ref="B44:B45"/>
    <mergeCell ref="B4:B10"/>
    <mergeCell ref="B11:B19"/>
    <mergeCell ref="B20:B25"/>
    <mergeCell ref="B26:B29"/>
    <mergeCell ref="B30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O4"/>
  <sheetViews>
    <sheetView topLeftCell="A4" zoomScale="130" workbookViewId="0">
      <selection activeCell="B24" sqref="B24"/>
    </sheetView>
  </sheetViews>
  <sheetFormatPr defaultColWidth="9" defaultRowHeight="14.4"/>
  <sheetData>
    <row r="2" spans="4:15">
      <c r="D2" s="77" t="s">
        <v>85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4" spans="4:15">
      <c r="D4" t="s">
        <v>86</v>
      </c>
      <c r="E4" s="78" t="s">
        <v>87</v>
      </c>
      <c r="F4" s="79"/>
      <c r="G4" s="79"/>
      <c r="H4" s="79"/>
      <c r="I4" s="79"/>
      <c r="J4" s="79"/>
      <c r="K4" s="79"/>
      <c r="L4" s="79"/>
      <c r="M4" s="79"/>
      <c r="N4" s="79"/>
      <c r="O4" s="79"/>
    </row>
  </sheetData>
  <mergeCells count="2">
    <mergeCell ref="D2:O2"/>
    <mergeCell ref="E4:O4"/>
  </mergeCells>
  <hyperlinks>
    <hyperlink ref="E4" r:id="rId1" xr:uid="{00000000-0004-0000-0200-000000000000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"/>
  <sheetViews>
    <sheetView tabSelected="1" topLeftCell="C1" workbookViewId="0">
      <pane ySplit="2" topLeftCell="A26" activePane="bottomLeft" state="frozen"/>
      <selection pane="bottomLeft" activeCell="J40" sqref="J40"/>
    </sheetView>
  </sheetViews>
  <sheetFormatPr defaultColWidth="9" defaultRowHeight="14.4"/>
  <cols>
    <col min="2" max="2" width="19.77734375" customWidth="1"/>
    <col min="3" max="3" width="23.5546875" customWidth="1"/>
    <col min="4" max="4" width="50" customWidth="1"/>
    <col min="5" max="6" width="20.33203125" customWidth="1"/>
    <col min="7" max="7" width="17.88671875" customWidth="1"/>
    <col min="8" max="8" width="18.109375" customWidth="1"/>
    <col min="9" max="9" width="17.33203125" customWidth="1"/>
    <col min="10" max="10" width="16.77734375" customWidth="1"/>
    <col min="11" max="11" width="16.109375" customWidth="1"/>
    <col min="12" max="12" width="35.33203125" customWidth="1"/>
    <col min="13" max="13" width="15.6640625" customWidth="1"/>
    <col min="14" max="14" width="15.21875" customWidth="1"/>
  </cols>
  <sheetData>
    <row r="1" spans="1:15">
      <c r="A1" s="80" t="s">
        <v>88</v>
      </c>
      <c r="B1" s="80"/>
      <c r="C1" s="80"/>
      <c r="D1" s="80"/>
      <c r="E1" s="6" t="s">
        <v>89</v>
      </c>
      <c r="F1" s="81" t="s">
        <v>90</v>
      </c>
      <c r="G1" s="81"/>
      <c r="H1" s="81"/>
      <c r="I1" s="81"/>
      <c r="J1" s="81"/>
      <c r="K1" s="81"/>
      <c r="L1" s="82" t="s">
        <v>91</v>
      </c>
      <c r="M1" s="82"/>
      <c r="N1" s="82"/>
      <c r="O1" s="82"/>
    </row>
    <row r="2" spans="1:15" ht="138" customHeight="1">
      <c r="A2" s="4" t="s">
        <v>92</v>
      </c>
      <c r="B2" s="5" t="s">
        <v>93</v>
      </c>
      <c r="C2" s="4" t="s">
        <v>94</v>
      </c>
      <c r="D2" s="5" t="s">
        <v>95</v>
      </c>
      <c r="E2" s="4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 t="s">
        <v>101</v>
      </c>
      <c r="K2" s="5" t="s">
        <v>102</v>
      </c>
      <c r="L2" s="5" t="s">
        <v>103</v>
      </c>
      <c r="M2" s="5" t="s">
        <v>104</v>
      </c>
      <c r="N2" s="5" t="s">
        <v>105</v>
      </c>
      <c r="O2" s="4" t="s">
        <v>106</v>
      </c>
    </row>
    <row r="3" spans="1:15" s="85" customFormat="1">
      <c r="A3" s="85">
        <v>1</v>
      </c>
      <c r="C3" s="86" t="s">
        <v>192</v>
      </c>
      <c r="D3" s="87" t="s">
        <v>157</v>
      </c>
      <c r="E3" s="86" t="s">
        <v>23</v>
      </c>
      <c r="F3" s="85" t="s">
        <v>107</v>
      </c>
      <c r="G3" s="85" t="s">
        <v>118</v>
      </c>
      <c r="H3" s="85" t="s">
        <v>116</v>
      </c>
      <c r="I3" s="85" t="s">
        <v>109</v>
      </c>
      <c r="J3" s="85" t="s">
        <v>120</v>
      </c>
      <c r="K3" s="85">
        <f>IF(OR(ISBLANK(F3),ISBLANK(G3),ISBLANK(H3),ISBLANK(I3),ISBLANK(J3)),"",_xlfn.TEXTBEFORE(F3,":")+_xlfn.TEXTBEFORE(G3,":")+_xlfn.TEXTBEFORE(H3,":")+_xlfn.TEXTBEFORE(I3,":")+_xlfn.TEXTBEFORE(J3,":"))</f>
        <v>27.5</v>
      </c>
      <c r="M3" s="85" t="s">
        <v>22</v>
      </c>
    </row>
    <row r="4" spans="1:15" s="85" customFormat="1">
      <c r="A4" s="85">
        <v>2</v>
      </c>
      <c r="B4" s="85" t="s">
        <v>227</v>
      </c>
      <c r="C4" s="86" t="s">
        <v>193</v>
      </c>
      <c r="D4" s="87" t="s">
        <v>158</v>
      </c>
      <c r="E4" s="86" t="s">
        <v>24</v>
      </c>
      <c r="F4" s="85" t="s">
        <v>107</v>
      </c>
      <c r="G4" s="85" t="s">
        <v>111</v>
      </c>
      <c r="H4" s="85" t="s">
        <v>116</v>
      </c>
      <c r="I4" s="85" t="s">
        <v>109</v>
      </c>
      <c r="J4" s="85" t="s">
        <v>120</v>
      </c>
      <c r="K4" s="85">
        <f>IF(OR(ISBLANK(F4),ISBLANK(G4),ISBLANK(H4),ISBLANK(I4),ISBLANK(J4)),"",_xlfn.TEXTBEFORE(F4,":")+_xlfn.TEXTBEFORE(G4,":")+_xlfn.TEXTBEFORE(H4,":")+_xlfn.TEXTBEFORE(I4,":")+_xlfn.TEXTBEFORE(J4,":"))</f>
        <v>30</v>
      </c>
      <c r="M4" s="85" t="s">
        <v>22</v>
      </c>
    </row>
    <row r="5" spans="1:15" s="85" customFormat="1">
      <c r="A5" s="85">
        <v>3</v>
      </c>
      <c r="C5" s="86" t="s">
        <v>194</v>
      </c>
      <c r="D5" s="87" t="s">
        <v>159</v>
      </c>
      <c r="E5" s="86" t="s">
        <v>27</v>
      </c>
      <c r="F5" s="85" t="s">
        <v>113</v>
      </c>
      <c r="G5" s="85" t="s">
        <v>111</v>
      </c>
      <c r="H5" s="85" t="s">
        <v>108</v>
      </c>
      <c r="I5" s="85" t="s">
        <v>109</v>
      </c>
      <c r="J5" s="85" t="s">
        <v>120</v>
      </c>
      <c r="K5" s="85">
        <f t="shared" ref="K5:K36" si="0">IF(OR(ISBLANK(F5),ISBLANK(G5),ISBLANK(H5),ISBLANK(I5),ISBLANK(J5)),"",_xlfn.TEXTBEFORE(F5,":")+_xlfn.TEXTBEFORE(G5,":")+_xlfn.TEXTBEFORE(H5,":")+_xlfn.TEXTBEFORE(I5,":")+_xlfn.TEXTBEFORE(J5,":"))</f>
        <v>42.5</v>
      </c>
      <c r="M5" s="85" t="s">
        <v>22</v>
      </c>
    </row>
    <row r="6" spans="1:15" s="88" customFormat="1">
      <c r="A6" s="88">
        <v>4</v>
      </c>
      <c r="C6" s="89" t="s">
        <v>195</v>
      </c>
      <c r="D6" s="90" t="s">
        <v>160</v>
      </c>
      <c r="E6" s="89" t="s">
        <v>27</v>
      </c>
      <c r="F6" s="88" t="s">
        <v>113</v>
      </c>
      <c r="G6" s="88" t="s">
        <v>118</v>
      </c>
      <c r="H6" s="88" t="s">
        <v>122</v>
      </c>
      <c r="I6" s="88" t="s">
        <v>109</v>
      </c>
      <c r="J6" s="88" t="s">
        <v>124</v>
      </c>
      <c r="K6" s="88">
        <f t="shared" si="0"/>
        <v>38</v>
      </c>
      <c r="M6" s="88" t="s">
        <v>22</v>
      </c>
    </row>
    <row r="7" spans="1:15" s="91" customFormat="1">
      <c r="A7" s="91">
        <v>5</v>
      </c>
      <c r="B7" s="91" t="s">
        <v>228</v>
      </c>
      <c r="C7" s="92" t="s">
        <v>196</v>
      </c>
      <c r="D7" s="93" t="s">
        <v>161</v>
      </c>
      <c r="E7" s="92" t="s">
        <v>27</v>
      </c>
      <c r="F7" s="91" t="s">
        <v>113</v>
      </c>
      <c r="G7" s="91" t="s">
        <v>118</v>
      </c>
      <c r="H7" s="91" t="s">
        <v>108</v>
      </c>
      <c r="I7" s="91" t="s">
        <v>119</v>
      </c>
      <c r="J7" s="91" t="s">
        <v>120</v>
      </c>
      <c r="K7" s="91">
        <f t="shared" si="0"/>
        <v>36</v>
      </c>
      <c r="M7" s="91" t="s">
        <v>22</v>
      </c>
    </row>
    <row r="8" spans="1:15" s="88" customFormat="1">
      <c r="A8" s="88">
        <v>6</v>
      </c>
      <c r="C8" s="89" t="s">
        <v>197</v>
      </c>
      <c r="D8" s="90" t="s">
        <v>162</v>
      </c>
      <c r="E8" s="89" t="s">
        <v>121</v>
      </c>
      <c r="F8" s="88" t="s">
        <v>117</v>
      </c>
      <c r="G8" s="88" t="s">
        <v>118</v>
      </c>
      <c r="H8" s="88" t="s">
        <v>122</v>
      </c>
      <c r="I8" s="88" t="s">
        <v>123</v>
      </c>
      <c r="J8" s="88" t="s">
        <v>114</v>
      </c>
      <c r="K8" s="88">
        <f t="shared" si="0"/>
        <v>20.5</v>
      </c>
      <c r="M8" s="88" t="s">
        <v>22</v>
      </c>
    </row>
    <row r="9" spans="1:15">
      <c r="A9">
        <v>7</v>
      </c>
      <c r="C9" s="84" t="s">
        <v>198</v>
      </c>
      <c r="D9" s="83" t="s">
        <v>163</v>
      </c>
      <c r="E9" s="84" t="s">
        <v>23</v>
      </c>
      <c r="F9" t="s">
        <v>113</v>
      </c>
      <c r="G9" t="s">
        <v>111</v>
      </c>
      <c r="H9" t="s">
        <v>112</v>
      </c>
      <c r="I9" t="s">
        <v>109</v>
      </c>
      <c r="J9" t="s">
        <v>124</v>
      </c>
      <c r="K9">
        <f>IF(OR(ISBLANK(F9),ISBLANK(G9),ISBLANK(H9),ISBLANK(I9),ISBLANK(J9)),"",_xlfn.TEXTBEFORE(F9,":")+_xlfn.TEXTBEFORE(G9,":")+_xlfn.TEXTBEFORE(H9,":")+_xlfn.TEXTBEFORE(I9,":")+_xlfn.TEXTBEFORE(J9,":"))</f>
        <v>44.5</v>
      </c>
      <c r="M9" t="s">
        <v>22</v>
      </c>
    </row>
    <row r="10" spans="1:15">
      <c r="A10">
        <v>8</v>
      </c>
      <c r="C10" s="84" t="s">
        <v>199</v>
      </c>
      <c r="D10" s="83" t="s">
        <v>164</v>
      </c>
      <c r="E10" s="84" t="s">
        <v>24</v>
      </c>
      <c r="F10" t="s">
        <v>107</v>
      </c>
      <c r="G10" t="s">
        <v>118</v>
      </c>
      <c r="H10" t="s">
        <v>112</v>
      </c>
      <c r="I10" t="s">
        <v>109</v>
      </c>
      <c r="J10" t="s">
        <v>124</v>
      </c>
      <c r="K10">
        <f t="shared" si="0"/>
        <v>37</v>
      </c>
      <c r="M10" t="s">
        <v>22</v>
      </c>
    </row>
    <row r="11" spans="1:15">
      <c r="A11">
        <v>9</v>
      </c>
      <c r="C11" s="84" t="s">
        <v>200</v>
      </c>
      <c r="D11" s="83" t="s">
        <v>165</v>
      </c>
      <c r="E11" s="84" t="s">
        <v>27</v>
      </c>
      <c r="F11" t="s">
        <v>113</v>
      </c>
      <c r="G11" t="s">
        <v>111</v>
      </c>
      <c r="H11" t="s">
        <v>112</v>
      </c>
      <c r="I11" t="s">
        <v>109</v>
      </c>
      <c r="J11" t="s">
        <v>120</v>
      </c>
      <c r="K11">
        <f t="shared" si="0"/>
        <v>41.5</v>
      </c>
    </row>
    <row r="12" spans="1:15">
      <c r="A12">
        <v>10</v>
      </c>
      <c r="B12" t="s">
        <v>229</v>
      </c>
      <c r="C12" s="84" t="s">
        <v>201</v>
      </c>
      <c r="D12" s="83" t="s">
        <v>166</v>
      </c>
      <c r="E12" s="84" t="s">
        <v>24</v>
      </c>
      <c r="F12" t="s">
        <v>233</v>
      </c>
      <c r="G12" t="s">
        <v>111</v>
      </c>
      <c r="H12" t="s">
        <v>112</v>
      </c>
      <c r="I12" t="s">
        <v>109</v>
      </c>
      <c r="J12" t="s">
        <v>120</v>
      </c>
      <c r="K12">
        <f t="shared" si="0"/>
        <v>40.5</v>
      </c>
    </row>
    <row r="13" spans="1:15">
      <c r="A13">
        <v>11</v>
      </c>
      <c r="C13" s="84" t="s">
        <v>202</v>
      </c>
      <c r="D13" s="83" t="s">
        <v>167</v>
      </c>
      <c r="E13" s="84" t="s">
        <v>27</v>
      </c>
      <c r="F13" t="s">
        <v>117</v>
      </c>
      <c r="G13" t="s">
        <v>118</v>
      </c>
      <c r="H13" t="s">
        <v>122</v>
      </c>
      <c r="I13" t="s">
        <v>119</v>
      </c>
      <c r="J13" t="s">
        <v>114</v>
      </c>
      <c r="K13">
        <f t="shared" si="0"/>
        <v>24</v>
      </c>
    </row>
    <row r="14" spans="1:15">
      <c r="A14">
        <v>12</v>
      </c>
      <c r="C14" s="84" t="s">
        <v>203</v>
      </c>
      <c r="D14" s="83" t="s">
        <v>168</v>
      </c>
      <c r="E14" s="84" t="s">
        <v>26</v>
      </c>
      <c r="F14" t="s">
        <v>117</v>
      </c>
      <c r="G14" t="s">
        <v>118</v>
      </c>
      <c r="H14" t="s">
        <v>116</v>
      </c>
      <c r="I14" t="s">
        <v>119</v>
      </c>
      <c r="J14" t="s">
        <v>120</v>
      </c>
      <c r="K14">
        <f t="shared" si="0"/>
        <v>26.5</v>
      </c>
    </row>
    <row r="15" spans="1:15">
      <c r="A15">
        <v>13</v>
      </c>
      <c r="C15" s="84" t="s">
        <v>204</v>
      </c>
      <c r="D15" s="83" t="s">
        <v>169</v>
      </c>
      <c r="E15" s="84" t="s">
        <v>25</v>
      </c>
      <c r="F15" t="s">
        <v>107</v>
      </c>
      <c r="G15" t="s">
        <v>118</v>
      </c>
      <c r="H15" t="s">
        <v>116</v>
      </c>
      <c r="I15" t="s">
        <v>123</v>
      </c>
      <c r="J15" t="s">
        <v>114</v>
      </c>
      <c r="K15">
        <f t="shared" si="0"/>
        <v>15</v>
      </c>
    </row>
    <row r="16" spans="1:15" s="88" customFormat="1">
      <c r="A16" s="88">
        <v>14</v>
      </c>
      <c r="C16" s="89" t="s">
        <v>205</v>
      </c>
      <c r="D16" s="90" t="s">
        <v>170</v>
      </c>
      <c r="E16" s="89" t="s">
        <v>23</v>
      </c>
      <c r="F16" s="88" t="s">
        <v>233</v>
      </c>
      <c r="G16" s="88" t="s">
        <v>118</v>
      </c>
      <c r="H16" s="88" t="s">
        <v>116</v>
      </c>
      <c r="I16" s="88" t="s">
        <v>109</v>
      </c>
      <c r="J16" s="88" t="s">
        <v>114</v>
      </c>
      <c r="K16" s="88">
        <f t="shared" si="0"/>
        <v>26.5</v>
      </c>
    </row>
    <row r="17" spans="1:11">
      <c r="A17">
        <v>15</v>
      </c>
      <c r="C17" s="84" t="s">
        <v>206</v>
      </c>
      <c r="D17" s="83" t="s">
        <v>171</v>
      </c>
      <c r="E17" s="84" t="s">
        <v>26</v>
      </c>
      <c r="F17" s="94" t="s">
        <v>113</v>
      </c>
      <c r="G17" s="94" t="s">
        <v>115</v>
      </c>
      <c r="H17" s="94" t="s">
        <v>122</v>
      </c>
      <c r="I17" s="94" t="s">
        <v>109</v>
      </c>
      <c r="J17" s="94" t="s">
        <v>114</v>
      </c>
      <c r="K17">
        <f>IF(OR(ISBLANK(F17),ISBLANK(G17),ISBLANK(H17),ISBLANK(I17),ISBLANK(J17)),"",_xlfn.TEXTBEFORE(F17,":")+_xlfn.TEXTBEFORE(G17,":")+_xlfn.TEXTBEFORE(H17,":")+_xlfn.TEXTBEFORE(I17,":")+_xlfn.TEXTBEFORE(J17,":"))</f>
        <v>25</v>
      </c>
    </row>
    <row r="18" spans="1:11">
      <c r="A18">
        <v>16</v>
      </c>
      <c r="C18" s="84" t="s">
        <v>207</v>
      </c>
      <c r="D18" s="83" t="s">
        <v>172</v>
      </c>
      <c r="E18" s="84" t="s">
        <v>24</v>
      </c>
      <c r="F18" s="94" t="s">
        <v>113</v>
      </c>
      <c r="G18" t="s">
        <v>118</v>
      </c>
      <c r="H18" s="94" t="s">
        <v>116</v>
      </c>
      <c r="I18" s="94" t="s">
        <v>109</v>
      </c>
      <c r="J18" s="94" t="s">
        <v>114</v>
      </c>
      <c r="K18">
        <f>IF(OR(ISBLANK(F18),ISBLANK(G18),ISBLANK(H18),ISBLANK(I18),ISBLANK(J18)),"",_xlfn.TEXTBEFORE(F18,":")+_xlfn.TEXTBEFORE(G18,":")+_xlfn.TEXTBEFORE(H18,":")+_xlfn.TEXTBEFORE(I18,":")+_xlfn.TEXTBEFORE(J18,":"))</f>
        <v>27.5</v>
      </c>
    </row>
    <row r="19" spans="1:11">
      <c r="A19">
        <v>17</v>
      </c>
      <c r="B19" t="s">
        <v>230</v>
      </c>
      <c r="C19" s="84" t="s">
        <v>208</v>
      </c>
      <c r="D19" s="83" t="s">
        <v>173</v>
      </c>
      <c r="E19" s="84" t="s">
        <v>26</v>
      </c>
      <c r="F19" s="94" t="s">
        <v>233</v>
      </c>
      <c r="G19" t="s">
        <v>115</v>
      </c>
      <c r="H19" s="94" t="s">
        <v>116</v>
      </c>
      <c r="I19" s="94" t="s">
        <v>109</v>
      </c>
      <c r="J19" s="94" t="s">
        <v>114</v>
      </c>
      <c r="K19">
        <f>IF(OR(ISBLANK(F19),ISBLANK(G19),ISBLANK(H19),ISBLANK(I19),ISBLANK(J19)),"",_xlfn.TEXTBEFORE(F19,":")+_xlfn.TEXTBEFORE(G19,":")+_xlfn.TEXTBEFORE(H19,":")+_xlfn.TEXTBEFORE(I19,":")+_xlfn.TEXTBEFORE(J19,":"))</f>
        <v>21.5</v>
      </c>
    </row>
    <row r="20" spans="1:11">
      <c r="A20">
        <v>18</v>
      </c>
      <c r="C20" s="84" t="s">
        <v>209</v>
      </c>
      <c r="D20" s="83" t="s">
        <v>174</v>
      </c>
      <c r="E20" s="84" t="s">
        <v>24</v>
      </c>
      <c r="F20" s="94" t="s">
        <v>117</v>
      </c>
      <c r="G20" t="s">
        <v>118</v>
      </c>
      <c r="H20" s="94" t="s">
        <v>116</v>
      </c>
      <c r="I20" s="94" t="s">
        <v>109</v>
      </c>
      <c r="J20" s="94" t="s">
        <v>120</v>
      </c>
      <c r="K20">
        <f t="shared" si="0"/>
        <v>30.5</v>
      </c>
    </row>
    <row r="21" spans="1:11">
      <c r="A21">
        <v>19</v>
      </c>
      <c r="C21" s="84" t="s">
        <v>210</v>
      </c>
      <c r="D21" s="83" t="s">
        <v>175</v>
      </c>
      <c r="E21" s="84" t="s">
        <v>27</v>
      </c>
      <c r="F21" s="94" t="s">
        <v>113</v>
      </c>
      <c r="G21" t="s">
        <v>111</v>
      </c>
      <c r="H21" s="94" t="s">
        <v>122</v>
      </c>
      <c r="I21" s="94" t="s">
        <v>109</v>
      </c>
      <c r="J21" s="94" t="s">
        <v>120</v>
      </c>
      <c r="K21">
        <f t="shared" si="0"/>
        <v>37.5</v>
      </c>
    </row>
    <row r="22" spans="1:11" s="88" customFormat="1">
      <c r="A22" s="88">
        <v>20</v>
      </c>
      <c r="C22" s="89" t="s">
        <v>211</v>
      </c>
      <c r="D22" s="90" t="s">
        <v>176</v>
      </c>
      <c r="E22" s="89" t="s">
        <v>24</v>
      </c>
      <c r="F22" s="88" t="s">
        <v>233</v>
      </c>
      <c r="G22" s="88" t="s">
        <v>111</v>
      </c>
      <c r="H22" s="88" t="s">
        <v>116</v>
      </c>
      <c r="I22" s="88" t="s">
        <v>109</v>
      </c>
      <c r="J22" s="88" t="s">
        <v>114</v>
      </c>
      <c r="K22" s="88">
        <f t="shared" si="0"/>
        <v>29</v>
      </c>
    </row>
    <row r="23" spans="1:11">
      <c r="A23">
        <v>21</v>
      </c>
      <c r="C23" s="84" t="s">
        <v>212</v>
      </c>
      <c r="D23" s="83" t="s">
        <v>177</v>
      </c>
      <c r="E23" s="84" t="s">
        <v>24</v>
      </c>
      <c r="F23" s="94" t="s">
        <v>113</v>
      </c>
      <c r="G23" s="94" t="s">
        <v>111</v>
      </c>
      <c r="H23" s="94" t="s">
        <v>108</v>
      </c>
      <c r="I23" s="94" t="s">
        <v>109</v>
      </c>
      <c r="J23" s="94" t="s">
        <v>110</v>
      </c>
      <c r="K23">
        <f t="shared" si="0"/>
        <v>47.5</v>
      </c>
    </row>
    <row r="24" spans="1:11">
      <c r="A24">
        <v>22</v>
      </c>
      <c r="C24" s="84" t="s">
        <v>213</v>
      </c>
      <c r="D24" s="83" t="s">
        <v>178</v>
      </c>
      <c r="E24" s="84" t="s">
        <v>26</v>
      </c>
      <c r="F24" s="94" t="s">
        <v>117</v>
      </c>
      <c r="G24" s="94" t="s">
        <v>111</v>
      </c>
      <c r="H24" s="94" t="s">
        <v>108</v>
      </c>
      <c r="I24" s="94" t="s">
        <v>109</v>
      </c>
      <c r="J24" s="94" t="s">
        <v>110</v>
      </c>
      <c r="K24">
        <f t="shared" si="0"/>
        <v>45.5</v>
      </c>
    </row>
    <row r="25" spans="1:11">
      <c r="A25">
        <v>23</v>
      </c>
      <c r="C25" s="84" t="s">
        <v>214</v>
      </c>
      <c r="D25" s="83" t="s">
        <v>179</v>
      </c>
      <c r="E25" s="84" t="s">
        <v>24</v>
      </c>
      <c r="F25" s="94" t="s">
        <v>107</v>
      </c>
      <c r="G25" s="94" t="s">
        <v>111</v>
      </c>
      <c r="H25" s="94" t="s">
        <v>116</v>
      </c>
      <c r="I25" s="94" t="s">
        <v>109</v>
      </c>
      <c r="J25" s="94" t="s">
        <v>114</v>
      </c>
      <c r="K25">
        <f t="shared" si="0"/>
        <v>25</v>
      </c>
    </row>
    <row r="26" spans="1:11">
      <c r="A26">
        <v>24</v>
      </c>
      <c r="C26" s="84" t="s">
        <v>215</v>
      </c>
      <c r="D26" s="83" t="s">
        <v>180</v>
      </c>
      <c r="E26" s="84" t="s">
        <v>27</v>
      </c>
      <c r="F26" s="94" t="s">
        <v>113</v>
      </c>
      <c r="G26" s="94" t="s">
        <v>118</v>
      </c>
      <c r="H26" s="94" t="s">
        <v>122</v>
      </c>
      <c r="I26" s="94" t="s">
        <v>109</v>
      </c>
      <c r="J26" s="94" t="s">
        <v>120</v>
      </c>
      <c r="K26">
        <f t="shared" si="0"/>
        <v>35</v>
      </c>
    </row>
    <row r="27" spans="1:11">
      <c r="A27">
        <v>25</v>
      </c>
      <c r="B27" t="s">
        <v>231</v>
      </c>
      <c r="C27" s="84" t="s">
        <v>216</v>
      </c>
      <c r="D27" s="83" t="s">
        <v>181</v>
      </c>
      <c r="E27" s="84" t="s">
        <v>24</v>
      </c>
      <c r="F27" s="94" t="s">
        <v>117</v>
      </c>
      <c r="G27" s="94" t="s">
        <v>118</v>
      </c>
      <c r="H27" s="94" t="s">
        <v>116</v>
      </c>
      <c r="I27" s="94" t="s">
        <v>109</v>
      </c>
      <c r="J27" s="94" t="s">
        <v>114</v>
      </c>
      <c r="K27">
        <f t="shared" si="0"/>
        <v>25.5</v>
      </c>
    </row>
    <row r="28" spans="1:11">
      <c r="A28">
        <v>26</v>
      </c>
      <c r="C28" s="84" t="s">
        <v>217</v>
      </c>
      <c r="D28" s="83" t="s">
        <v>182</v>
      </c>
      <c r="E28" s="84" t="s">
        <v>26</v>
      </c>
      <c r="F28" s="94" t="s">
        <v>117</v>
      </c>
      <c r="G28" s="94" t="s">
        <v>118</v>
      </c>
      <c r="H28" s="94" t="s">
        <v>116</v>
      </c>
      <c r="I28" s="94" t="s">
        <v>109</v>
      </c>
      <c r="J28" s="94" t="s">
        <v>120</v>
      </c>
      <c r="K28">
        <f t="shared" si="0"/>
        <v>30.5</v>
      </c>
    </row>
    <row r="29" spans="1:11">
      <c r="A29">
        <v>27</v>
      </c>
      <c r="C29" s="84" t="s">
        <v>218</v>
      </c>
      <c r="D29" s="83" t="s">
        <v>183</v>
      </c>
      <c r="E29" s="84" t="s">
        <v>121</v>
      </c>
      <c r="F29" s="94" t="s">
        <v>113</v>
      </c>
      <c r="G29" s="94" t="s">
        <v>118</v>
      </c>
      <c r="H29" s="94" t="s">
        <v>116</v>
      </c>
      <c r="I29" s="94" t="s">
        <v>109</v>
      </c>
      <c r="J29" s="94" t="s">
        <v>114</v>
      </c>
      <c r="K29">
        <f t="shared" si="0"/>
        <v>27.5</v>
      </c>
    </row>
    <row r="30" spans="1:11">
      <c r="A30">
        <v>28</v>
      </c>
      <c r="C30" s="84" t="s">
        <v>219</v>
      </c>
      <c r="D30" s="83" t="s">
        <v>184</v>
      </c>
      <c r="E30" s="84" t="s">
        <v>121</v>
      </c>
      <c r="F30" s="94" t="s">
        <v>113</v>
      </c>
      <c r="G30" s="94" t="s">
        <v>118</v>
      </c>
      <c r="H30" s="94" t="s">
        <v>116</v>
      </c>
      <c r="I30" s="94" t="s">
        <v>109</v>
      </c>
      <c r="J30" s="94" t="s">
        <v>120</v>
      </c>
      <c r="K30">
        <f t="shared" si="0"/>
        <v>32.5</v>
      </c>
    </row>
    <row r="31" spans="1:11">
      <c r="A31">
        <v>29</v>
      </c>
      <c r="C31" s="84" t="s">
        <v>220</v>
      </c>
      <c r="D31" s="83" t="s">
        <v>185</v>
      </c>
      <c r="E31" s="84" t="s">
        <v>24</v>
      </c>
      <c r="F31" s="94" t="s">
        <v>117</v>
      </c>
      <c r="G31" s="94" t="s">
        <v>111</v>
      </c>
      <c r="H31" s="94" t="s">
        <v>112</v>
      </c>
      <c r="I31" s="94" t="s">
        <v>109</v>
      </c>
      <c r="J31" s="94" t="s">
        <v>114</v>
      </c>
      <c r="K31">
        <f t="shared" si="0"/>
        <v>34.5</v>
      </c>
    </row>
    <row r="32" spans="1:11" s="88" customFormat="1">
      <c r="A32" s="88">
        <v>30</v>
      </c>
      <c r="C32" s="89" t="s">
        <v>221</v>
      </c>
      <c r="D32" s="90" t="s">
        <v>186</v>
      </c>
      <c r="E32" s="89" t="s">
        <v>26</v>
      </c>
      <c r="F32" s="88" t="s">
        <v>117</v>
      </c>
      <c r="G32" s="88" t="s">
        <v>118</v>
      </c>
      <c r="H32" s="88" t="s">
        <v>116</v>
      </c>
      <c r="I32" s="88" t="s">
        <v>109</v>
      </c>
      <c r="J32" s="88" t="s">
        <v>114</v>
      </c>
      <c r="K32" s="88">
        <f t="shared" si="0"/>
        <v>25.5</v>
      </c>
    </row>
    <row r="33" spans="1:11">
      <c r="A33">
        <v>31</v>
      </c>
      <c r="C33" s="84" t="s">
        <v>222</v>
      </c>
      <c r="D33" s="83" t="s">
        <v>187</v>
      </c>
      <c r="E33" s="84" t="s">
        <v>26</v>
      </c>
      <c r="F33" s="94" t="s">
        <v>117</v>
      </c>
      <c r="G33" s="94" t="s">
        <v>118</v>
      </c>
      <c r="H33" s="94" t="s">
        <v>112</v>
      </c>
      <c r="I33" s="94" t="s">
        <v>119</v>
      </c>
      <c r="J33" s="94" t="s">
        <v>120</v>
      </c>
      <c r="K33">
        <f t="shared" si="0"/>
        <v>33</v>
      </c>
    </row>
    <row r="34" spans="1:11">
      <c r="A34">
        <v>32</v>
      </c>
      <c r="B34" t="s">
        <v>232</v>
      </c>
      <c r="C34" s="84" t="s">
        <v>223</v>
      </c>
      <c r="D34" s="83" t="s">
        <v>188</v>
      </c>
      <c r="E34" s="84" t="s">
        <v>26</v>
      </c>
      <c r="F34" s="94" t="s">
        <v>233</v>
      </c>
      <c r="G34" t="s">
        <v>118</v>
      </c>
      <c r="H34" s="94" t="s">
        <v>122</v>
      </c>
      <c r="I34" s="94" t="s">
        <v>109</v>
      </c>
      <c r="J34" s="94" t="s">
        <v>114</v>
      </c>
      <c r="K34">
        <f t="shared" si="0"/>
        <v>29</v>
      </c>
    </row>
    <row r="35" spans="1:11">
      <c r="A35">
        <v>33</v>
      </c>
      <c r="C35" s="84" t="s">
        <v>224</v>
      </c>
      <c r="D35" s="83" t="s">
        <v>189</v>
      </c>
      <c r="E35" s="84" t="s">
        <v>26</v>
      </c>
      <c r="F35" s="94" t="s">
        <v>117</v>
      </c>
      <c r="G35" t="s">
        <v>118</v>
      </c>
      <c r="H35" s="94" t="s">
        <v>112</v>
      </c>
      <c r="I35" s="94" t="s">
        <v>109</v>
      </c>
      <c r="J35" s="94" t="s">
        <v>120</v>
      </c>
      <c r="K35">
        <f t="shared" si="0"/>
        <v>37</v>
      </c>
    </row>
    <row r="36" spans="1:11">
      <c r="A36">
        <v>34</v>
      </c>
      <c r="C36" s="84" t="s">
        <v>225</v>
      </c>
      <c r="D36" s="83" t="s">
        <v>190</v>
      </c>
      <c r="E36" s="84" t="s">
        <v>26</v>
      </c>
      <c r="F36" s="94" t="s">
        <v>117</v>
      </c>
      <c r="G36" t="s">
        <v>118</v>
      </c>
      <c r="H36" s="94" t="s">
        <v>116</v>
      </c>
      <c r="I36" s="94" t="s">
        <v>119</v>
      </c>
      <c r="J36" s="94" t="s">
        <v>114</v>
      </c>
      <c r="K36">
        <f t="shared" si="0"/>
        <v>21.5</v>
      </c>
    </row>
    <row r="37" spans="1:11" s="88" customFormat="1">
      <c r="A37" s="88">
        <v>35</v>
      </c>
      <c r="C37" s="89" t="s">
        <v>226</v>
      </c>
      <c r="D37" s="90" t="s">
        <v>191</v>
      </c>
      <c r="E37" s="89" t="s">
        <v>23</v>
      </c>
      <c r="F37" s="88" t="s">
        <v>117</v>
      </c>
      <c r="G37" s="88" t="s">
        <v>115</v>
      </c>
      <c r="H37" s="88" t="s">
        <v>116</v>
      </c>
      <c r="I37" s="88" t="s">
        <v>119</v>
      </c>
      <c r="J37" s="88" t="s">
        <v>114</v>
      </c>
      <c r="K37" s="88">
        <f t="shared" ref="K37:K68" si="1">IF(OR(ISBLANK(F37),ISBLANK(G37),ISBLANK(H37),ISBLANK(I37),ISBLANK(J37)),"",_xlfn.TEXTBEFORE(F37,":")+_xlfn.TEXTBEFORE(G37,":")+_xlfn.TEXTBEFORE(H37,":")+_xlfn.TEXTBEFORE(I37,":")+_xlfn.TEXTBEFORE(J37,":"))</f>
        <v>16.5</v>
      </c>
    </row>
    <row r="38" spans="1:11">
      <c r="K38" t="str">
        <f t="shared" si="1"/>
        <v/>
      </c>
    </row>
    <row r="39" spans="1:11">
      <c r="K39" t="str">
        <f t="shared" si="1"/>
        <v/>
      </c>
    </row>
    <row r="40" spans="1:11">
      <c r="K40" t="str">
        <f t="shared" si="1"/>
        <v/>
      </c>
    </row>
    <row r="41" spans="1:11">
      <c r="K41" t="str">
        <f t="shared" si="1"/>
        <v/>
      </c>
    </row>
    <row r="42" spans="1:11">
      <c r="K42" t="str">
        <f t="shared" si="1"/>
        <v/>
      </c>
    </row>
    <row r="43" spans="1:11">
      <c r="K43" t="str">
        <f t="shared" si="1"/>
        <v/>
      </c>
    </row>
    <row r="44" spans="1:11">
      <c r="K44" t="str">
        <f t="shared" si="1"/>
        <v/>
      </c>
    </row>
    <row r="45" spans="1:11">
      <c r="K45" t="str">
        <f t="shared" si="1"/>
        <v/>
      </c>
    </row>
    <row r="46" spans="1:11">
      <c r="K46" t="str">
        <f t="shared" si="1"/>
        <v/>
      </c>
    </row>
    <row r="47" spans="1:11">
      <c r="K47" t="str">
        <f t="shared" si="1"/>
        <v/>
      </c>
    </row>
    <row r="48" spans="1:11">
      <c r="K48" t="str">
        <f t="shared" si="1"/>
        <v/>
      </c>
    </row>
    <row r="49" spans="11:11">
      <c r="K49" t="str">
        <f t="shared" si="1"/>
        <v/>
      </c>
    </row>
    <row r="50" spans="11:11">
      <c r="K50" t="str">
        <f t="shared" si="1"/>
        <v/>
      </c>
    </row>
    <row r="51" spans="11:11">
      <c r="K51" t="str">
        <f t="shared" si="1"/>
        <v/>
      </c>
    </row>
    <row r="52" spans="11:11">
      <c r="K52" t="str">
        <f t="shared" si="1"/>
        <v/>
      </c>
    </row>
    <row r="53" spans="11:11">
      <c r="K53" t="str">
        <f t="shared" si="1"/>
        <v/>
      </c>
    </row>
    <row r="54" spans="11:11">
      <c r="K54" t="str">
        <f t="shared" si="1"/>
        <v/>
      </c>
    </row>
    <row r="55" spans="11:11">
      <c r="K55" t="str">
        <f t="shared" si="1"/>
        <v/>
      </c>
    </row>
    <row r="56" spans="11:11">
      <c r="K56" t="str">
        <f t="shared" si="1"/>
        <v/>
      </c>
    </row>
    <row r="57" spans="11:11">
      <c r="K57" t="str">
        <f t="shared" si="1"/>
        <v/>
      </c>
    </row>
    <row r="58" spans="11:11">
      <c r="K58" t="str">
        <f t="shared" si="1"/>
        <v/>
      </c>
    </row>
    <row r="59" spans="11:11">
      <c r="K59" t="str">
        <f t="shared" si="1"/>
        <v/>
      </c>
    </row>
    <row r="60" spans="11:11">
      <c r="K60" t="str">
        <f t="shared" si="1"/>
        <v/>
      </c>
    </row>
    <row r="61" spans="11:11">
      <c r="K61" t="str">
        <f t="shared" si="1"/>
        <v/>
      </c>
    </row>
    <row r="62" spans="11:11">
      <c r="K62" t="str">
        <f t="shared" si="1"/>
        <v/>
      </c>
    </row>
    <row r="63" spans="11:11">
      <c r="K63" t="str">
        <f t="shared" si="1"/>
        <v/>
      </c>
    </row>
    <row r="64" spans="11:11">
      <c r="K64" t="str">
        <f t="shared" si="1"/>
        <v/>
      </c>
    </row>
    <row r="65" spans="11:11">
      <c r="K65" t="str">
        <f t="shared" si="1"/>
        <v/>
      </c>
    </row>
    <row r="66" spans="11:11">
      <c r="K66" t="str">
        <f t="shared" si="1"/>
        <v/>
      </c>
    </row>
    <row r="67" spans="11:11">
      <c r="K67" t="str">
        <f t="shared" si="1"/>
        <v/>
      </c>
    </row>
    <row r="68" spans="11:11">
      <c r="K68" t="str">
        <f t="shared" si="1"/>
        <v/>
      </c>
    </row>
    <row r="69" spans="11:11">
      <c r="K69" t="str">
        <f t="shared" ref="K69:K100" si="2">IF(OR(ISBLANK(F69),ISBLANK(G69),ISBLANK(H69),ISBLANK(I69),ISBLANK(J69)),"",_xlfn.TEXTBEFORE(F69,":")+_xlfn.TEXTBEFORE(G69,":")+_xlfn.TEXTBEFORE(H69,":")+_xlfn.TEXTBEFORE(I69,":")+_xlfn.TEXTBEFORE(J69,":"))</f>
        <v/>
      </c>
    </row>
    <row r="70" spans="11:11">
      <c r="K70" t="str">
        <f t="shared" si="2"/>
        <v/>
      </c>
    </row>
    <row r="71" spans="11:11">
      <c r="K71" t="str">
        <f t="shared" si="2"/>
        <v/>
      </c>
    </row>
    <row r="72" spans="11:11">
      <c r="K72" t="str">
        <f t="shared" si="2"/>
        <v/>
      </c>
    </row>
    <row r="73" spans="11:11">
      <c r="K73" t="str">
        <f t="shared" si="2"/>
        <v/>
      </c>
    </row>
    <row r="74" spans="11:11">
      <c r="K74" t="str">
        <f t="shared" si="2"/>
        <v/>
      </c>
    </row>
    <row r="75" spans="11:11">
      <c r="K75" t="str">
        <f t="shared" si="2"/>
        <v/>
      </c>
    </row>
    <row r="76" spans="11:11">
      <c r="K76" t="str">
        <f t="shared" si="2"/>
        <v/>
      </c>
    </row>
    <row r="77" spans="11:11">
      <c r="K77" t="str">
        <f t="shared" si="2"/>
        <v/>
      </c>
    </row>
    <row r="78" spans="11:11">
      <c r="K78" t="str">
        <f t="shared" si="2"/>
        <v/>
      </c>
    </row>
    <row r="79" spans="11:11">
      <c r="K79" t="str">
        <f t="shared" si="2"/>
        <v/>
      </c>
    </row>
    <row r="80" spans="11:11">
      <c r="K80" t="str">
        <f t="shared" si="2"/>
        <v/>
      </c>
    </row>
    <row r="81" spans="11:11">
      <c r="K81" t="str">
        <f t="shared" si="2"/>
        <v/>
      </c>
    </row>
    <row r="82" spans="11:11">
      <c r="K82" t="str">
        <f t="shared" si="2"/>
        <v/>
      </c>
    </row>
    <row r="83" spans="11:11">
      <c r="K83" t="str">
        <f t="shared" si="2"/>
        <v/>
      </c>
    </row>
    <row r="84" spans="11:11">
      <c r="K84" t="str">
        <f t="shared" si="2"/>
        <v/>
      </c>
    </row>
    <row r="85" spans="11:11">
      <c r="K85" t="str">
        <f t="shared" si="2"/>
        <v/>
      </c>
    </row>
    <row r="86" spans="11:11">
      <c r="K86" t="str">
        <f t="shared" si="2"/>
        <v/>
      </c>
    </row>
    <row r="87" spans="11:11">
      <c r="K87" t="str">
        <f t="shared" si="2"/>
        <v/>
      </c>
    </row>
    <row r="88" spans="11:11">
      <c r="K88" t="str">
        <f t="shared" si="2"/>
        <v/>
      </c>
    </row>
    <row r="89" spans="11:11">
      <c r="K89" t="str">
        <f t="shared" si="2"/>
        <v/>
      </c>
    </row>
    <row r="90" spans="11:11">
      <c r="K90" t="str">
        <f t="shared" si="2"/>
        <v/>
      </c>
    </row>
    <row r="91" spans="11:11">
      <c r="K91" t="str">
        <f t="shared" si="2"/>
        <v/>
      </c>
    </row>
    <row r="92" spans="11:11">
      <c r="K92" t="str">
        <f t="shared" si="2"/>
        <v/>
      </c>
    </row>
    <row r="93" spans="11:11">
      <c r="K93" t="str">
        <f t="shared" si="2"/>
        <v/>
      </c>
    </row>
    <row r="94" spans="11:11">
      <c r="K94" t="str">
        <f t="shared" si="2"/>
        <v/>
      </c>
    </row>
    <row r="95" spans="11:11">
      <c r="K95" t="str">
        <f t="shared" si="2"/>
        <v/>
      </c>
    </row>
    <row r="96" spans="11:11">
      <c r="K96" t="str">
        <f t="shared" si="2"/>
        <v/>
      </c>
    </row>
    <row r="97" spans="11:11">
      <c r="K97" t="str">
        <f t="shared" si="2"/>
        <v/>
      </c>
    </row>
    <row r="98" spans="11:11">
      <c r="K98" t="str">
        <f t="shared" si="2"/>
        <v/>
      </c>
    </row>
    <row r="99" spans="11:11">
      <c r="K99" t="str">
        <f t="shared" si="2"/>
        <v/>
      </c>
    </row>
    <row r="100" spans="11:11">
      <c r="K100" t="str">
        <f t="shared" si="2"/>
        <v/>
      </c>
    </row>
  </sheetData>
  <mergeCells count="3">
    <mergeCell ref="A1:D1"/>
    <mergeCell ref="F1:K1"/>
    <mergeCell ref="L1:O1"/>
  </mergeCells>
  <conditionalFormatting sqref="K3:K100">
    <cfRule type="cellIs" dxfId="4" priority="1" operator="notBetween">
      <formula>0</formula>
      <formula>50</formula>
    </cfRule>
    <cfRule type="cellIs" dxfId="3" priority="2" operator="greaterThanOrEqual">
      <formula>40</formula>
      <formula>50</formula>
    </cfRule>
    <cfRule type="cellIs" dxfId="2" priority="3" operator="greaterThanOrEqual">
      <formula>25</formula>
    </cfRule>
    <cfRule type="cellIs" dxfId="1" priority="4" operator="greaterThanOrEqual">
      <formula>11</formula>
    </cfRule>
    <cfRule type="cellIs" dxfId="0" priority="5" operator="greaterThanOrEqual">
      <formula>0</formula>
    </cfRule>
  </conditionalFormatting>
  <dataValidations count="8">
    <dataValidation type="list" allowBlank="1" showInputMessage="1" showErrorMessage="1" sqref="E1:E2 E38:E1048576" xr:uid="{00000000-0002-0000-0300-000000000000}">
      <formula1>"Spoofing,Tampering,Repudiation,Information Disclosure,Denial of Service (DoS),Elevation of Privilege"</formula1>
    </dataValidation>
    <dataValidation type="list" allowBlank="1" showInputMessage="1" showErrorMessage="1" sqref="F1:F1048576" xr:uid="{00000000-0002-0000-0300-000001000000}">
      <formula1>"0: No damage,5: Information disclosure,8: Non-sensitive user data related to individuals or employer compromised,9: Non-sensitive administrative data compromised,10: Destruction of an information system data or application unavailability"</formula1>
    </dataValidation>
    <dataValidation type="list" allowBlank="1" showInputMessage="1" showErrorMessage="1" sqref="G1:G1048576" xr:uid="{00000000-0002-0000-0300-000002000000}">
      <formula1>"0: Difficult or impossible ,5: Complex ,7.5: Easy ,10: Very easy "</formula1>
    </dataValidation>
    <dataValidation type="list" allowBlank="1" showInputMessage="1" showErrorMessage="1" sqref="H1:H1048576" xr:uid="{00000000-0002-0000-0300-000003000000}">
      <formula1>"2.5: Advanced programming and networking skills,5: Available attack tools ,9: Web application proxies ,10: Web browser "</formula1>
    </dataValidation>
    <dataValidation type="list" allowBlank="1" showInputMessage="1" showErrorMessage="1" sqref="I1:I1048576" xr:uid="{00000000-0002-0000-0300-000004000000}">
      <formula1>"0: No users ,2.5: Individual user ,6: Few users ,8: Administrative users ,10: All users "</formula1>
    </dataValidation>
    <dataValidation type="list" allowBlank="1" showInputMessage="1" showErrorMessage="1" sqref="J1:J1048576" xr:uid="{00000000-0002-0000-0300-000005000000}">
      <formula1>"0: Hard to discover the vulnerability,5: HTTP requests can uncover the vulnerability,8: Vulnerability found in the public domain,10: Vulnerability found in  web address bar or form"</formula1>
    </dataValidation>
    <dataValidation type="list" allowBlank="1" showInputMessage="1" showErrorMessage="1" sqref="M1:M1048576" xr:uid="{00000000-0002-0000-0300-000006000000}">
      <formula1>"Mitigated,Need Mitigation"</formula1>
    </dataValidation>
    <dataValidation type="list" allowBlank="1" showErrorMessage="1" sqref="E3:E37" xr:uid="{A89B98FE-2F35-4A90-B156-12B30ABE91C0}">
      <formula1>"Spoofing,Tampering,Repudiation,Information Disclosure,Denial of Service (DoS),Elevation of Privilege"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4:G10"/>
  <sheetViews>
    <sheetView workbookViewId="0">
      <selection activeCell="G7" sqref="G7"/>
    </sheetView>
  </sheetViews>
  <sheetFormatPr defaultColWidth="9" defaultRowHeight="14.4"/>
  <cols>
    <col min="4" max="4" width="18.33203125" customWidth="1"/>
    <col min="5" max="5" width="35.44140625" customWidth="1"/>
    <col min="6" max="6" width="23.44140625" customWidth="1"/>
    <col min="7" max="7" width="29" customWidth="1"/>
  </cols>
  <sheetData>
    <row r="4" spans="4:7" ht="18">
      <c r="D4" s="1" t="s">
        <v>125</v>
      </c>
      <c r="E4" s="1" t="s">
        <v>5</v>
      </c>
      <c r="F4" s="1" t="s">
        <v>126</v>
      </c>
      <c r="G4" s="1" t="s">
        <v>127</v>
      </c>
    </row>
    <row r="5" spans="4:7" ht="138.9" customHeight="1">
      <c r="D5" s="2" t="s">
        <v>23</v>
      </c>
      <c r="E5" s="2" t="s">
        <v>128</v>
      </c>
      <c r="F5" s="2" t="s">
        <v>129</v>
      </c>
      <c r="G5" s="2" t="s">
        <v>130</v>
      </c>
    </row>
    <row r="6" spans="4:7" ht="165.9" customHeight="1">
      <c r="D6" s="3" t="s">
        <v>24</v>
      </c>
      <c r="E6" s="3" t="s">
        <v>131</v>
      </c>
      <c r="F6" s="3" t="s">
        <v>132</v>
      </c>
      <c r="G6" s="3" t="s">
        <v>133</v>
      </c>
    </row>
    <row r="7" spans="4:7" ht="90">
      <c r="D7" s="2" t="s">
        <v>25</v>
      </c>
      <c r="E7" s="2" t="s">
        <v>134</v>
      </c>
      <c r="F7" s="2" t="s">
        <v>135</v>
      </c>
      <c r="G7" s="2" t="s">
        <v>136</v>
      </c>
    </row>
    <row r="8" spans="4:7" ht="141.9" customHeight="1">
      <c r="D8" s="3" t="s">
        <v>137</v>
      </c>
      <c r="E8" s="3" t="s">
        <v>138</v>
      </c>
      <c r="F8" s="3" t="s">
        <v>139</v>
      </c>
      <c r="G8" s="3" t="s">
        <v>140</v>
      </c>
    </row>
    <row r="9" spans="4:7" ht="126">
      <c r="D9" s="2" t="s">
        <v>141</v>
      </c>
      <c r="E9" s="2" t="s">
        <v>142</v>
      </c>
      <c r="F9" s="2" t="s">
        <v>143</v>
      </c>
      <c r="G9" s="2" t="s">
        <v>144</v>
      </c>
    </row>
    <row r="10" spans="4:7" ht="114" customHeight="1">
      <c r="D10" s="3" t="s">
        <v>145</v>
      </c>
      <c r="E10" s="3" t="s">
        <v>146</v>
      </c>
      <c r="F10" s="3" t="s">
        <v>147</v>
      </c>
      <c r="G10" s="3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Assets</vt:lpstr>
      <vt:lpstr>DFD</vt:lpstr>
      <vt:lpstr>Threat List</vt:lpstr>
      <vt:lpstr>STRIDE 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nandeesh</dc:creator>
  <cp:keywords/>
  <dc:description/>
  <cp:lastModifiedBy>Charoes Huang</cp:lastModifiedBy>
  <cp:revision/>
  <dcterms:created xsi:type="dcterms:W3CDTF">2024-11-23T19:12:10Z</dcterms:created>
  <dcterms:modified xsi:type="dcterms:W3CDTF">2025-11-14T08:04:53Z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1EF741EBD39810BFB2DB4167174834A5_41</vt:lpwstr>
  </property>
  <property fmtid="{D5CDD505-2E9C-101B-9397-08002B2CF9AE}" pid="3" name="KSOProductBuildVer">
    <vt:lpwstr>1033-6.10.1.8197</vt:lpwstr>
  </property>
</Properties>
</file>